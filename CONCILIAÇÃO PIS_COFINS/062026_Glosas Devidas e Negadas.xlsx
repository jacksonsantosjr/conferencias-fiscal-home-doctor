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FISCAL\Apuração de Impostos\Apuração\Memoria de calculo\PIS - COFINS\HD\2026\06.JUNHO\"/>
    </mc:Choice>
  </mc:AlternateContent>
  <xr:revisionPtr revIDLastSave="0" documentId="8_{26A3E4D3-BFBD-43AD-A6D7-3A33BFBADEB1}" xr6:coauthVersionLast="47" xr6:coauthVersionMax="47" xr10:uidLastSave="{00000000-0000-0000-0000-000000000000}"/>
  <bookViews>
    <workbookView xWindow="-120" yWindow="-120" windowWidth="20730" windowHeight="11040" activeTab="1" xr2:uid="{1C404A0A-94EF-4A39-BC90-68F659BC527C}"/>
  </bookViews>
  <sheets>
    <sheet name="Relação de Glosas" sheetId="1" r:id="rId1"/>
    <sheet name="Dinâmica" sheetId="2" r:id="rId2"/>
  </sheets>
  <definedNames>
    <definedName name="_xlnm._FilterDatabase" localSheetId="0" hidden="1">'Relação de Glosas'!$A$2:$M$129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K3" i="1"/>
  <c r="J3" i="1"/>
  <c r="I1" i="1" l="1"/>
  <c r="H1" i="1"/>
</calcChain>
</file>

<file path=xl/sharedStrings.xml><?xml version="1.0" encoding="utf-8"?>
<sst xmlns="http://schemas.openxmlformats.org/spreadsheetml/2006/main" count="914" uniqueCount="178">
  <si>
    <t>Numero</t>
  </si>
  <si>
    <t>TP</t>
  </si>
  <si>
    <t>Cli/For</t>
  </si>
  <si>
    <t>Nome Cli/For</t>
  </si>
  <si>
    <t>Natureza</t>
  </si>
  <si>
    <t>Vencto</t>
  </si>
  <si>
    <t>Dt Baixa</t>
  </si>
  <si>
    <t>Valor Original</t>
  </si>
  <si>
    <t>Total Baixado</t>
  </si>
  <si>
    <t>Mot</t>
  </si>
  <si>
    <t>Orig</t>
  </si>
  <si>
    <t>NF</t>
  </si>
  <si>
    <t>1.1.01.01</t>
  </si>
  <si>
    <t>000037</t>
  </si>
  <si>
    <t>000024</t>
  </si>
  <si>
    <t>GLO</t>
  </si>
  <si>
    <t>0201000001</t>
  </si>
  <si>
    <t>000014</t>
  </si>
  <si>
    <t>000039</t>
  </si>
  <si>
    <t>000012</t>
  </si>
  <si>
    <t>000027</t>
  </si>
  <si>
    <t>000035</t>
  </si>
  <si>
    <t>0201000005</t>
  </si>
  <si>
    <t>0202000001</t>
  </si>
  <si>
    <t>0203000001</t>
  </si>
  <si>
    <t>0204500001</t>
  </si>
  <si>
    <t>0205000001</t>
  </si>
  <si>
    <t>0205000002</t>
  </si>
  <si>
    <t>0208000001</t>
  </si>
  <si>
    <t>0303100001</t>
  </si>
  <si>
    <t>PORTO SEGURO</t>
  </si>
  <si>
    <t>UNAFISCO</t>
  </si>
  <si>
    <t>UNIMED FESP</t>
  </si>
  <si>
    <t>UNIMED NACIONAL - CNU</t>
  </si>
  <si>
    <t>VIVEST</t>
  </si>
  <si>
    <t>000026082</t>
  </si>
  <si>
    <t>000020775</t>
  </si>
  <si>
    <t>000021300</t>
  </si>
  <si>
    <t>000021323</t>
  </si>
  <si>
    <t>000021622</t>
  </si>
  <si>
    <t>000021623</t>
  </si>
  <si>
    <t>000021625</t>
  </si>
  <si>
    <t>000024316</t>
  </si>
  <si>
    <t>000015</t>
  </si>
  <si>
    <t>000018087</t>
  </si>
  <si>
    <t>000018081</t>
  </si>
  <si>
    <t>000018082</t>
  </si>
  <si>
    <t>000018083</t>
  </si>
  <si>
    <t>000018089</t>
  </si>
  <si>
    <t>000018088</t>
  </si>
  <si>
    <t>000025909</t>
  </si>
  <si>
    <t>000025911</t>
  </si>
  <si>
    <t>000025959</t>
  </si>
  <si>
    <t>000025962</t>
  </si>
  <si>
    <t>000025963</t>
  </si>
  <si>
    <t>000025964</t>
  </si>
  <si>
    <t>000025915</t>
  </si>
  <si>
    <t>000026023</t>
  </si>
  <si>
    <t>000026022</t>
  </si>
  <si>
    <t>000026020</t>
  </si>
  <si>
    <t>000026019</t>
  </si>
  <si>
    <t>000025642</t>
  </si>
  <si>
    <t>000025664</t>
  </si>
  <si>
    <t>000025800</t>
  </si>
  <si>
    <t>000025935</t>
  </si>
  <si>
    <t>000025936</t>
  </si>
  <si>
    <t>000025799</t>
  </si>
  <si>
    <t>000025580</t>
  </si>
  <si>
    <t>000018</t>
  </si>
  <si>
    <t>GAMA SAUDE LTDA</t>
  </si>
  <si>
    <t>000025579</t>
  </si>
  <si>
    <t>000025873</t>
  </si>
  <si>
    <t>000025874</t>
  </si>
  <si>
    <t>000025876</t>
  </si>
  <si>
    <t>000026108</t>
  </si>
  <si>
    <t>000026107</t>
  </si>
  <si>
    <t>000026106</t>
  </si>
  <si>
    <t>000025917</t>
  </si>
  <si>
    <t>000002842</t>
  </si>
  <si>
    <t>0201000003</t>
  </si>
  <si>
    <t>000002676</t>
  </si>
  <si>
    <t>0201000004</t>
  </si>
  <si>
    <t>000000803</t>
  </si>
  <si>
    <t>000001025</t>
  </si>
  <si>
    <t>000001026</t>
  </si>
  <si>
    <t>000001103</t>
  </si>
  <si>
    <t>000001105</t>
  </si>
  <si>
    <t>000001177</t>
  </si>
  <si>
    <t>000001323</t>
  </si>
  <si>
    <t>000001415</t>
  </si>
  <si>
    <t>000001416</t>
  </si>
  <si>
    <t>000001564</t>
  </si>
  <si>
    <t>000001568</t>
  </si>
  <si>
    <t>000001637</t>
  </si>
  <si>
    <t>000001642</t>
  </si>
  <si>
    <t>000002712</t>
  </si>
  <si>
    <t>000002710</t>
  </si>
  <si>
    <t>000002711</t>
  </si>
  <si>
    <t>000002719</t>
  </si>
  <si>
    <t>000007003</t>
  </si>
  <si>
    <t>000008421</t>
  </si>
  <si>
    <t>000008430</t>
  </si>
  <si>
    <t>000008370</t>
  </si>
  <si>
    <t>000008400</t>
  </si>
  <si>
    <t>000008401</t>
  </si>
  <si>
    <t>000012366</t>
  </si>
  <si>
    <t>000012378</t>
  </si>
  <si>
    <t>000012379</t>
  </si>
  <si>
    <t>000012585</t>
  </si>
  <si>
    <t>000012952</t>
  </si>
  <si>
    <t>000012970</t>
  </si>
  <si>
    <t>000012971</t>
  </si>
  <si>
    <t>000015402</t>
  </si>
  <si>
    <t>000015413</t>
  </si>
  <si>
    <t>000015411</t>
  </si>
  <si>
    <t>000015412</t>
  </si>
  <si>
    <t>000015374</t>
  </si>
  <si>
    <t>000000307</t>
  </si>
  <si>
    <t>0203000002</t>
  </si>
  <si>
    <t>000001205</t>
  </si>
  <si>
    <t>000001199</t>
  </si>
  <si>
    <t>000001206</t>
  </si>
  <si>
    <t>000001673</t>
  </si>
  <si>
    <t>000001683</t>
  </si>
  <si>
    <t>000001682</t>
  </si>
  <si>
    <t>000000029</t>
  </si>
  <si>
    <t>000000030</t>
  </si>
  <si>
    <t>000000033</t>
  </si>
  <si>
    <t>000000035</t>
  </si>
  <si>
    <t>000000036</t>
  </si>
  <si>
    <t>000000038</t>
  </si>
  <si>
    <t>000000039</t>
  </si>
  <si>
    <t>000000043</t>
  </si>
  <si>
    <t>000000044</t>
  </si>
  <si>
    <t>000000051</t>
  </si>
  <si>
    <t>202500087</t>
  </si>
  <si>
    <t>000000121</t>
  </si>
  <si>
    <t>000000119</t>
  </si>
  <si>
    <t>000000120</t>
  </si>
  <si>
    <t>0207000001</t>
  </si>
  <si>
    <t>000000077</t>
  </si>
  <si>
    <t>000000086</t>
  </si>
  <si>
    <t>000000096</t>
  </si>
  <si>
    <t>000000110</t>
  </si>
  <si>
    <t>000000123</t>
  </si>
  <si>
    <t>000000137</t>
  </si>
  <si>
    <t>000000158</t>
  </si>
  <si>
    <t>000000498</t>
  </si>
  <si>
    <t>000000499</t>
  </si>
  <si>
    <t>000000490</t>
  </si>
  <si>
    <t>000001218</t>
  </si>
  <si>
    <t>000001329</t>
  </si>
  <si>
    <t>000001330</t>
  </si>
  <si>
    <t>000001357</t>
  </si>
  <si>
    <t>000001358</t>
  </si>
  <si>
    <t>000001380</t>
  </si>
  <si>
    <t>000001385</t>
  </si>
  <si>
    <t>000001413</t>
  </si>
  <si>
    <t>000001414</t>
  </si>
  <si>
    <t>000001446</t>
  </si>
  <si>
    <t>000001495</t>
  </si>
  <si>
    <t>000001552</t>
  </si>
  <si>
    <t>000001556</t>
  </si>
  <si>
    <t>000001557</t>
  </si>
  <si>
    <t>000002299</t>
  </si>
  <si>
    <t>000002281</t>
  </si>
  <si>
    <t>000002300</t>
  </si>
  <si>
    <t>USISAUDE</t>
  </si>
  <si>
    <t xml:space="preserve">OMINT </t>
  </si>
  <si>
    <t xml:space="preserve">UNIMED SEGUROS </t>
  </si>
  <si>
    <t>Total Geral</t>
  </si>
  <si>
    <t>Valores</t>
  </si>
  <si>
    <t xml:space="preserve"> Valor Original</t>
  </si>
  <si>
    <t xml:space="preserve"> Total Baixado</t>
  </si>
  <si>
    <t>PIS 0,65%</t>
  </si>
  <si>
    <t>COFINS 3%</t>
  </si>
  <si>
    <t xml:space="preserve"> PIS 0,65%</t>
  </si>
  <si>
    <t xml:space="preserve"> COFINS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</si>
</sst>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DCE6F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43" fontId="3" fillId="0" borderId="3" xfId="0" applyNumberFormat="1" applyFont="1" applyBorder="1" applyAlignment="1">
      <alignment horizontal="left"/>
    </xf>
    <xf numFmtId="43" fontId="3" fillId="0" borderId="3" xfId="1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4" fontId="4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pivotButton="1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5" fillId="3" borderId="0" xfId="1" applyFont="1" applyFill="1"/>
  </cellXfs>
  <cellStyles count="2">
    <cellStyle name="Normal" xfId="0" builtinId="0"/>
    <cellStyle name="Vírgula" xfId="1" builtinId="3"/>
  </cellStyles>
  <dxfs count="27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son Alves dos Santos Junior" refreshedDate="46209.346225694448" createdVersion="8" refreshedVersion="8" minRefreshableVersion="3" recordCount="127" xr:uid="{79E237BB-4B61-4580-9CE2-89E458C5799B}">
  <cacheSource type="worksheet">
    <worksheetSource ref="A2:M129" sheet="Relação de Glosas"/>
  </cacheSource>
  <cacheFields count="13">
    <cacheField name="Numero" numFmtId="0">
      <sharedItems count="125">
        <s v="000025580"/>
        <s v="000025579"/>
        <s v="000025873"/>
        <s v="000025874"/>
        <s v="000025876"/>
        <s v="000026108"/>
        <s v="000026107"/>
        <s v="000026106"/>
        <s v="000026082"/>
        <s v="000025959"/>
        <s v="000025962"/>
        <s v="000025963"/>
        <s v="000025964"/>
        <s v="000002842"/>
        <s v="000002676"/>
        <s v="000008421"/>
        <s v="000015402"/>
        <s v="000000307"/>
        <s v="202500087"/>
        <s v="000000121"/>
        <s v="000025915"/>
        <s v="000001205"/>
        <s v="000002299"/>
        <s v="000025917"/>
        <s v="000018087"/>
        <s v="000018081"/>
        <s v="000018082"/>
        <s v="000018083"/>
        <s v="000018089"/>
        <s v="000018088"/>
        <s v="000025642"/>
        <s v="000025664"/>
        <s v="000025800"/>
        <s v="000025799"/>
        <s v="000008370"/>
        <s v="000001199"/>
        <s v="000001673"/>
        <s v="000000119"/>
        <s v="000002281"/>
        <s v="000025935"/>
        <s v="000025936"/>
        <s v="000008400"/>
        <s v="000008401"/>
        <s v="000015374"/>
        <s v="000001206"/>
        <s v="000001683"/>
        <s v="000001682"/>
        <s v="000000120"/>
        <s v="000000490"/>
        <s v="000002300"/>
        <s v="000000803"/>
        <s v="000001218"/>
        <s v="000001025"/>
        <s v="000001026"/>
        <s v="000001103"/>
        <s v="000001105"/>
        <s v="000001177"/>
        <s v="000000077"/>
        <s v="000001329"/>
        <s v="000001330"/>
        <s v="000000029"/>
        <s v="000000030"/>
        <s v="000000086"/>
        <s v="000001357"/>
        <s v="000001358"/>
        <s v="000001323"/>
        <s v="000000033"/>
        <s v="000000096"/>
        <s v="000001380"/>
        <s v="000001385"/>
        <s v="000020775"/>
        <s v="000001415"/>
        <s v="000001416"/>
        <s v="000012366"/>
        <s v="000012378"/>
        <s v="000012379"/>
        <s v="000000035"/>
        <s v="000000036"/>
        <s v="000000110"/>
        <s v="000001413"/>
        <s v="000001414"/>
        <s v="000012585"/>
        <s v="000000038"/>
        <s v="000000039"/>
        <s v="000000123"/>
        <s v="000001446"/>
        <s v="000021300"/>
        <s v="000021323"/>
        <s v="000001564"/>
        <s v="000001568"/>
        <s v="000007003"/>
        <s v="000000043"/>
        <s v="000000044"/>
        <s v="000000137"/>
        <s v="000001495"/>
        <s v="000021622"/>
        <s v="000021623"/>
        <s v="000021625"/>
        <s v="000001637"/>
        <s v="000001642"/>
        <s v="000012952"/>
        <s v="000012970"/>
        <s v="000012971"/>
        <s v="000000051"/>
        <s v="000000158"/>
        <s v="000001552"/>
        <s v="000001556"/>
        <s v="000001557"/>
        <s v="000026023"/>
        <s v="000026022"/>
        <s v="000026020"/>
        <s v="000026019"/>
        <s v="000002712"/>
        <s v="000002710"/>
        <s v="000002711"/>
        <s v="000002719"/>
        <s v="000008430"/>
        <s v="000015413"/>
        <s v="000015411"/>
        <s v="000015412"/>
        <s v="000000498"/>
        <s v="000000499"/>
        <s v="000024316"/>
        <s v="000025909"/>
        <s v="000025911"/>
      </sharedItems>
    </cacheField>
    <cacheField name="TP" numFmtId="0">
      <sharedItems/>
    </cacheField>
    <cacheField name="Cli/For" numFmtId="0">
      <sharedItems/>
    </cacheField>
    <cacheField name="Nome Cli/For" numFmtId="0">
      <sharedItems/>
    </cacheField>
    <cacheField name="Natureza" numFmtId="0">
      <sharedItems/>
    </cacheField>
    <cacheField name="Vencto" numFmtId="14">
      <sharedItems containsSemiMixedTypes="0" containsNonDate="0" containsDate="1" containsString="0" minDate="2023-10-18T00:00:00" maxDate="2026-07-07T00:00:00"/>
    </cacheField>
    <cacheField name="Dt Baixa" numFmtId="14">
      <sharedItems containsSemiMixedTypes="0" containsNonDate="0" containsDate="1" containsString="0" minDate="2026-06-11T00:00:00" maxDate="2026-07-01T00:00:00"/>
    </cacheField>
    <cacheField name="Valor Original" numFmtId="43">
      <sharedItems containsSemiMixedTypes="0" containsString="0" containsNumber="1" minValue="51.6" maxValue="1092373.3700000001"/>
    </cacheField>
    <cacheField name="Total Baixado" numFmtId="43">
      <sharedItems containsSemiMixedTypes="0" containsString="0" containsNumber="1" minValue="0.02" maxValue="30900.02"/>
    </cacheField>
    <cacheField name="PIS 0,65%" numFmtId="43">
      <sharedItems containsSemiMixedTypes="0" containsString="0" containsNumber="1" minValue="0" maxValue="200.85" count="105">
        <n v="11.02"/>
        <n v="3.26"/>
        <n v="1.74"/>
        <n v="0.01"/>
        <n v="1.45"/>
        <n v="5.2"/>
        <n v="7.13"/>
        <n v="1.21"/>
        <n v="0.05"/>
        <n v="0.08"/>
        <n v="0"/>
        <n v="0.12"/>
        <n v="0.64"/>
        <n v="1.1299999999999999"/>
        <n v="2.48"/>
        <n v="181.98"/>
        <n v="1.08"/>
        <n v="0.02"/>
        <n v="0.84"/>
        <n v="0.34"/>
        <n v="0.4"/>
        <n v="0.72"/>
        <n v="1.07"/>
        <n v="0.2"/>
        <n v="9.17"/>
        <n v="0.19"/>
        <n v="0.6"/>
        <n v="33.5"/>
        <n v="20.84"/>
        <n v="2.04"/>
        <n v="8.5399999999999991"/>
        <n v="0.14000000000000001"/>
        <n v="5.19"/>
        <n v="23.54"/>
        <n v="2.2599999999999998"/>
        <n v="0.9"/>
        <n v="4.93"/>
        <n v="4.4000000000000004"/>
        <n v="0.28999999999999998"/>
        <n v="62.97"/>
        <n v="12.38"/>
        <n v="28.51"/>
        <n v="0.42"/>
        <n v="7.95"/>
        <n v="52.64"/>
        <n v="1.36"/>
        <n v="40.479999999999997"/>
        <n v="26.44"/>
        <n v="151.28"/>
        <n v="0.35"/>
        <n v="4.71"/>
        <n v="1.57"/>
        <n v="1.77"/>
        <n v="1.83"/>
        <n v="0.03"/>
        <n v="71.510000000000005"/>
        <n v="2.95"/>
        <n v="0.1"/>
        <n v="66.66"/>
        <n v="4.49"/>
        <n v="107.34"/>
        <n v="2.0699999999999998"/>
        <n v="31.15"/>
        <n v="7.17"/>
        <n v="8.64"/>
        <n v="12.79"/>
        <n v="4.95"/>
        <n v="4.24"/>
        <n v="2.4700000000000002"/>
        <n v="84.8"/>
        <n v="4.6500000000000004"/>
        <n v="94.28"/>
        <n v="5.45"/>
        <n v="10.68"/>
        <n v="15.89"/>
        <n v="1.26"/>
        <n v="3.18"/>
        <n v="13.19"/>
        <n v="12.66"/>
        <n v="74.489999999999995"/>
        <n v="3.25"/>
        <n v="0.81"/>
        <n v="13.96"/>
        <n v="0.38"/>
        <n v="43.74"/>
        <n v="2.33"/>
        <n v="36.08"/>
        <n v="10.71"/>
        <n v="1.63"/>
        <n v="2.2200000000000002"/>
        <n v="6.19"/>
        <n v="2.4900000000000002"/>
        <n v="2.0499999999999998"/>
        <n v="1.33"/>
        <n v="9.85"/>
        <n v="0.39"/>
        <n v="200.85"/>
        <n v="20.99"/>
        <n v="0.55000000000000004"/>
        <n v="0.04"/>
        <n v="2.7"/>
        <n v="14.48"/>
        <n v="7.0000000000000007E-2"/>
        <n v="46.38"/>
        <n v="0.49"/>
      </sharedItems>
    </cacheField>
    <cacheField name="COFINS 3%" numFmtId="43">
      <sharedItems containsSemiMixedTypes="0" containsString="0" containsNumber="1" minValue="0" maxValue="927" count="114">
        <n v="50.87"/>
        <n v="15.03"/>
        <n v="8.0399999999999991"/>
        <n v="0.05"/>
        <n v="6.69"/>
        <n v="23.98"/>
        <n v="32.92"/>
        <n v="5.56"/>
        <n v="0.21"/>
        <n v="0.37"/>
        <n v="0"/>
        <n v="0.56000000000000005"/>
        <n v="2.96"/>
        <n v="5.19"/>
        <n v="11.43"/>
        <n v="839.92"/>
        <n v="4.96"/>
        <n v="0.09"/>
        <n v="3.9"/>
        <n v="1.59"/>
        <n v="1.83"/>
        <n v="3.3"/>
        <n v="4.95"/>
        <n v="0.93"/>
        <n v="42.3"/>
        <n v="0.87"/>
        <n v="2.78"/>
        <n v="154.62"/>
        <n v="96.17"/>
        <n v="9.43"/>
        <n v="39.43"/>
        <n v="0.62"/>
        <n v="23.95"/>
        <n v="108.67"/>
        <n v="10.44"/>
        <n v="4.17"/>
        <n v="22.75"/>
        <n v="20.29"/>
        <n v="1.33"/>
        <n v="290.61"/>
        <n v="57.15"/>
        <n v="131.6"/>
        <n v="1.93"/>
        <n v="36.68"/>
        <n v="242.95"/>
        <n v="6.27"/>
        <n v="0.03"/>
        <n v="186.84"/>
        <n v="122.04"/>
        <n v="698.23"/>
        <n v="1.6"/>
        <n v="21.75"/>
        <n v="0.01"/>
        <n v="7.26"/>
        <n v="8.18"/>
        <n v="8.43"/>
        <n v="0.14000000000000001"/>
        <n v="330.05"/>
        <n v="1.96"/>
        <n v="13.6"/>
        <n v="0.45"/>
        <n v="307.64"/>
        <n v="20.72"/>
        <n v="0.47"/>
        <n v="495.43"/>
        <n v="9.5399999999999991"/>
        <n v="143.77000000000001"/>
        <n v="33.08"/>
        <n v="39.869999999999997"/>
        <n v="59.02"/>
        <n v="22.85"/>
        <n v="19.59"/>
        <n v="11.42"/>
        <n v="391.39"/>
        <n v="21.48"/>
        <n v="435.12"/>
        <n v="25.15"/>
        <n v="49.29"/>
        <n v="73.319999999999993"/>
        <n v="5.82"/>
        <n v="14.68"/>
        <n v="60.87"/>
        <n v="58.45"/>
        <n v="343.78"/>
        <n v="15.01"/>
        <n v="3.75"/>
        <n v="64.44"/>
        <n v="1.73"/>
        <n v="201.86"/>
        <n v="10.73"/>
        <n v="166.53"/>
        <n v="49.42"/>
        <n v="0.15"/>
        <n v="7.5"/>
        <n v="10.23"/>
        <n v="28.55"/>
        <n v="39.85"/>
        <n v="0.23"/>
        <n v="0.95"/>
        <n v="11.49"/>
        <n v="9.4700000000000006"/>
        <n v="6.12"/>
        <n v="45.46"/>
        <n v="1.82"/>
        <n v="927"/>
        <n v="96.86"/>
        <n v="2.5499999999999998"/>
        <n v="0.2"/>
        <n v="12.45"/>
        <n v="66.84"/>
        <n v="0.02"/>
        <n v="0.3"/>
        <n v="214.08"/>
        <n v="2.25"/>
      </sharedItems>
    </cacheField>
    <cacheField name="Mot" numFmtId="0">
      <sharedItems/>
    </cacheField>
    <cacheField name="Orig" numFmtId="0">
      <sharedItems count="13">
        <s v="0201000001"/>
        <s v="0201000003"/>
        <s v="0201000004"/>
        <s v="0202000001"/>
        <s v="0203000001"/>
        <s v="0203000002"/>
        <s v="0205000002"/>
        <s v="0207000001"/>
        <s v="0204500001"/>
        <s v="0303100001"/>
        <s v="0205000001"/>
        <s v="0208000001"/>
        <s v="02010000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s v="NF"/>
    <s v="000018"/>
    <s v="GAMA SAUDE LTDA"/>
    <s v="1.1.01.01"/>
    <d v="2026-05-05T00:00:00"/>
    <d v="2026-06-30T00:00:00"/>
    <n v="29420.32"/>
    <n v="1695.77"/>
    <x v="0"/>
    <x v="0"/>
    <s v="GLO"/>
    <x v="0"/>
  </r>
  <r>
    <x v="1"/>
    <s v="NF"/>
    <s v="000018"/>
    <s v="GAMA SAUDE LTDA"/>
    <s v="1.1.01.01"/>
    <d v="2026-05-05T00:00:00"/>
    <d v="2026-06-30T00:00:00"/>
    <n v="6544.49"/>
    <n v="501.14"/>
    <x v="1"/>
    <x v="1"/>
    <s v="GLO"/>
    <x v="0"/>
  </r>
  <r>
    <x v="2"/>
    <s v="NF"/>
    <s v="000018"/>
    <s v="GAMA SAUDE LTDA"/>
    <s v="1.1.01.01"/>
    <d v="2026-06-05T00:00:00"/>
    <d v="2026-06-30T00:00:00"/>
    <n v="7044.57"/>
    <n v="267.85000000000002"/>
    <x v="2"/>
    <x v="2"/>
    <s v="GLO"/>
    <x v="0"/>
  </r>
  <r>
    <x v="3"/>
    <s v="NF"/>
    <s v="000018"/>
    <s v="GAMA SAUDE LTDA"/>
    <s v="1.1.01.01"/>
    <d v="2026-06-05T00:00:00"/>
    <d v="2026-06-30T00:00:00"/>
    <n v="1956.97"/>
    <n v="1.66"/>
    <x v="3"/>
    <x v="3"/>
    <s v="GLO"/>
    <x v="0"/>
  </r>
  <r>
    <x v="4"/>
    <s v="NF"/>
    <s v="000018"/>
    <s v="GAMA SAUDE LTDA"/>
    <s v="1.1.01.01"/>
    <d v="2026-06-05T00:00:00"/>
    <d v="2026-06-30T00:00:00"/>
    <n v="2437.75"/>
    <n v="222.98"/>
    <x v="4"/>
    <x v="4"/>
    <s v="GLO"/>
    <x v="0"/>
  </r>
  <r>
    <x v="5"/>
    <s v="NF"/>
    <s v="000018"/>
    <s v="GAMA SAUDE LTDA"/>
    <s v="1.1.01.01"/>
    <d v="2026-07-06T00:00:00"/>
    <d v="2026-06-30T00:00:00"/>
    <n v="11873.71"/>
    <n v="799.44"/>
    <x v="5"/>
    <x v="5"/>
    <s v="GLO"/>
    <x v="0"/>
  </r>
  <r>
    <x v="6"/>
    <s v="NF"/>
    <s v="000018"/>
    <s v="GAMA SAUDE LTDA"/>
    <s v="1.1.01.01"/>
    <d v="2026-07-06T00:00:00"/>
    <d v="2026-06-30T00:00:00"/>
    <n v="18266.37"/>
    <n v="1097.18"/>
    <x v="6"/>
    <x v="6"/>
    <s v="GLO"/>
    <x v="0"/>
  </r>
  <r>
    <x v="7"/>
    <s v="NF"/>
    <s v="000018"/>
    <s v="GAMA SAUDE LTDA"/>
    <s v="1.1.01.01"/>
    <d v="2026-07-06T00:00:00"/>
    <d v="2026-06-30T00:00:00"/>
    <n v="3925.81"/>
    <n v="185.44"/>
    <x v="7"/>
    <x v="7"/>
    <s v="GLO"/>
    <x v="0"/>
  </r>
  <r>
    <x v="8"/>
    <s v="NF"/>
    <s v="000024"/>
    <s v="OMINT "/>
    <s v="1.1.01.01"/>
    <d v="2026-05-29T00:00:00"/>
    <d v="2026-06-11T00:00:00"/>
    <n v="1449.58"/>
    <n v="6.94"/>
    <x v="8"/>
    <x v="8"/>
    <s v="GLO"/>
    <x v="0"/>
  </r>
  <r>
    <x v="9"/>
    <s v="NF"/>
    <s v="000027"/>
    <s v="PORTO SEGURO"/>
    <s v="1.1.01.01"/>
    <d v="2026-05-25T00:00:00"/>
    <d v="2026-06-30T00:00:00"/>
    <n v="139773.14000000001"/>
    <n v="12.42"/>
    <x v="9"/>
    <x v="9"/>
    <s v="GLO"/>
    <x v="0"/>
  </r>
  <r>
    <x v="10"/>
    <s v="NF"/>
    <s v="000027"/>
    <s v="PORTO SEGURO"/>
    <s v="1.1.01.01"/>
    <d v="2026-05-25T00:00:00"/>
    <d v="2026-06-30T00:00:00"/>
    <n v="92852.6"/>
    <n v="0.04"/>
    <x v="10"/>
    <x v="10"/>
    <s v="GLO"/>
    <x v="0"/>
  </r>
  <r>
    <x v="11"/>
    <s v="NF"/>
    <s v="000027"/>
    <s v="PORTO SEGURO"/>
    <s v="1.1.01.01"/>
    <d v="2026-05-25T00:00:00"/>
    <d v="2026-06-30T00:00:00"/>
    <n v="173397.73"/>
    <n v="18.739999999999998"/>
    <x v="11"/>
    <x v="11"/>
    <s v="GLO"/>
    <x v="0"/>
  </r>
  <r>
    <x v="12"/>
    <s v="NF"/>
    <s v="000027"/>
    <s v="PORTO SEGURO"/>
    <s v="1.1.01.01"/>
    <d v="2026-05-25T00:00:00"/>
    <d v="2026-06-30T00:00:00"/>
    <n v="250944.51"/>
    <n v="98.59"/>
    <x v="12"/>
    <x v="12"/>
    <s v="GLO"/>
    <x v="0"/>
  </r>
  <r>
    <x v="13"/>
    <s v="NF"/>
    <s v="000027"/>
    <s v="PORTO SEGURO"/>
    <s v="1.1.01.01"/>
    <d v="2026-05-25T00:00:00"/>
    <d v="2026-06-30T00:00:00"/>
    <n v="17007"/>
    <n v="173.12"/>
    <x v="13"/>
    <x v="13"/>
    <s v="GLO"/>
    <x v="1"/>
  </r>
  <r>
    <x v="14"/>
    <s v="NF"/>
    <s v="000027"/>
    <s v="PORTO SEGURO"/>
    <s v="1.1.01.01"/>
    <d v="2026-05-25T00:00:00"/>
    <d v="2026-06-30T00:00:00"/>
    <n v="19913.060000000001"/>
    <n v="0.02"/>
    <x v="10"/>
    <x v="10"/>
    <s v="GLO"/>
    <x v="2"/>
  </r>
  <r>
    <x v="15"/>
    <s v="NF"/>
    <s v="000027"/>
    <s v="PORTO SEGURO"/>
    <s v="1.1.01.01"/>
    <d v="2026-05-25T00:00:00"/>
    <d v="2026-06-30T00:00:00"/>
    <n v="49303.44"/>
    <n v="381.16"/>
    <x v="14"/>
    <x v="14"/>
    <s v="GLO"/>
    <x v="3"/>
  </r>
  <r>
    <x v="16"/>
    <s v="NF"/>
    <s v="000027"/>
    <s v="PORTO SEGURO"/>
    <s v="1.1.01.01"/>
    <d v="2026-05-25T00:00:00"/>
    <d v="2026-06-30T00:00:00"/>
    <n v="311158.45"/>
    <n v="27997.3"/>
    <x v="15"/>
    <x v="15"/>
    <s v="GLO"/>
    <x v="4"/>
  </r>
  <r>
    <x v="17"/>
    <s v="NF"/>
    <s v="000027"/>
    <s v="PORTO SEGURO"/>
    <s v="1.1.01.01"/>
    <d v="2026-05-25T00:00:00"/>
    <d v="2026-06-30T00:00:00"/>
    <n v="52401.05"/>
    <n v="165.39"/>
    <x v="16"/>
    <x v="16"/>
    <s v="GLO"/>
    <x v="5"/>
  </r>
  <r>
    <x v="18"/>
    <s v="NF"/>
    <s v="000027"/>
    <s v="PORTO SEGURO"/>
    <s v="1.1.01.01"/>
    <d v="2026-05-25T00:00:00"/>
    <d v="2026-06-30T00:00:00"/>
    <n v="96366.17"/>
    <n v="3.11"/>
    <x v="17"/>
    <x v="17"/>
    <s v="GLO"/>
    <x v="6"/>
  </r>
  <r>
    <x v="19"/>
    <s v="NF"/>
    <s v="000027"/>
    <s v="PORTO SEGURO"/>
    <s v="1.1.01.01"/>
    <d v="2026-05-25T00:00:00"/>
    <d v="2026-06-30T00:00:00"/>
    <n v="5691.81"/>
    <n v="129.99"/>
    <x v="18"/>
    <x v="18"/>
    <s v="GLO"/>
    <x v="7"/>
  </r>
  <r>
    <x v="20"/>
    <s v="NF"/>
    <s v="000035"/>
    <s v="UNAFISCO"/>
    <s v="1.1.01.01"/>
    <d v="2026-05-15T00:00:00"/>
    <d v="2026-06-30T00:00:00"/>
    <n v="6841.76"/>
    <n v="52.92"/>
    <x v="19"/>
    <x v="19"/>
    <s v="GLO"/>
    <x v="0"/>
  </r>
  <r>
    <x v="21"/>
    <s v="NF"/>
    <s v="000035"/>
    <s v="UNAFISCO"/>
    <s v="1.1.01.01"/>
    <d v="2026-05-15T00:00:00"/>
    <d v="2026-06-30T00:00:00"/>
    <n v="7247.32"/>
    <n v="60.9"/>
    <x v="20"/>
    <x v="20"/>
    <s v="GLO"/>
    <x v="8"/>
  </r>
  <r>
    <x v="22"/>
    <s v="NF"/>
    <s v="000035"/>
    <s v="UNAFISCO"/>
    <s v="1.1.01.01"/>
    <d v="2026-05-15T00:00:00"/>
    <d v="2026-06-30T00:00:00"/>
    <n v="34963.589999999997"/>
    <n v="110.04"/>
    <x v="21"/>
    <x v="21"/>
    <s v="GLO"/>
    <x v="9"/>
  </r>
  <r>
    <x v="23"/>
    <s v="NF"/>
    <s v="000037"/>
    <s v="UNIMED FESP"/>
    <s v="1.1.01.01"/>
    <d v="2026-05-29T00:00:00"/>
    <d v="2026-06-30T00:00:00"/>
    <n v="19666.439999999999"/>
    <n v="165.02"/>
    <x v="22"/>
    <x v="22"/>
    <s v="GLO"/>
    <x v="0"/>
  </r>
  <r>
    <x v="24"/>
    <s v="NF"/>
    <s v="000014"/>
    <s v="UNIMED NACIONAL - CNU"/>
    <s v="1.1.01.01"/>
    <d v="2023-10-18T00:00:00"/>
    <d v="2026-06-18T00:00:00"/>
    <n v="452158.61"/>
    <n v="31.16"/>
    <x v="23"/>
    <x v="23"/>
    <s v="GLO"/>
    <x v="0"/>
  </r>
  <r>
    <x v="25"/>
    <s v="NF"/>
    <s v="000014"/>
    <s v="UNIMED NACIONAL - CNU"/>
    <s v="1.1.01.01"/>
    <d v="2023-10-18T00:00:00"/>
    <d v="2026-06-18T00:00:00"/>
    <n v="466973.58"/>
    <n v="1410.03"/>
    <x v="24"/>
    <x v="24"/>
    <s v="GLO"/>
    <x v="0"/>
  </r>
  <r>
    <x v="26"/>
    <s v="NF"/>
    <s v="000014"/>
    <s v="UNIMED NACIONAL - CNU"/>
    <s v="1.1.01.01"/>
    <d v="2023-10-18T00:00:00"/>
    <d v="2026-06-18T00:00:00"/>
    <n v="398633.16"/>
    <n v="28.95"/>
    <x v="25"/>
    <x v="25"/>
    <s v="GLO"/>
    <x v="0"/>
  </r>
  <r>
    <x v="27"/>
    <s v="NF"/>
    <s v="000014"/>
    <s v="UNIMED NACIONAL - CNU"/>
    <s v="1.1.01.01"/>
    <d v="2023-10-18T00:00:00"/>
    <d v="2026-06-18T00:00:00"/>
    <n v="406621.72"/>
    <n v="92.6"/>
    <x v="26"/>
    <x v="26"/>
    <s v="GLO"/>
    <x v="0"/>
  </r>
  <r>
    <x v="28"/>
    <s v="NF"/>
    <s v="000014"/>
    <s v="UNIMED NACIONAL - CNU"/>
    <s v="1.1.01.01"/>
    <d v="2023-10-18T00:00:00"/>
    <d v="2026-06-18T00:00:00"/>
    <n v="75326.880000000005"/>
    <n v="5154"/>
    <x v="27"/>
    <x v="27"/>
    <s v="GLO"/>
    <x v="0"/>
  </r>
  <r>
    <x v="29"/>
    <s v="NF"/>
    <s v="000014"/>
    <s v="UNIMED NACIONAL - CNU"/>
    <s v="1.1.01.01"/>
    <d v="2023-10-18T00:00:00"/>
    <d v="2026-06-18T00:00:00"/>
    <n v="327852.96999999997"/>
    <n v="3205.57"/>
    <x v="28"/>
    <x v="28"/>
    <s v="GLO"/>
    <x v="0"/>
  </r>
  <r>
    <x v="30"/>
    <s v="NF"/>
    <s v="000014"/>
    <s v="UNIMED NACIONAL - CNU"/>
    <s v="1.1.01.01"/>
    <d v="2026-05-11T00:00:00"/>
    <d v="2026-06-30T00:00:00"/>
    <n v="10309.870000000001"/>
    <n v="314.3"/>
    <x v="29"/>
    <x v="29"/>
    <s v="GLO"/>
    <x v="0"/>
  </r>
  <r>
    <x v="31"/>
    <s v="NF"/>
    <s v="000014"/>
    <s v="UNIMED NACIONAL - CNU"/>
    <s v="1.1.01.01"/>
    <d v="2026-05-11T00:00:00"/>
    <d v="2026-06-30T00:00:00"/>
    <n v="126395.83"/>
    <n v="1314.49"/>
    <x v="30"/>
    <x v="30"/>
    <s v="GLO"/>
    <x v="0"/>
  </r>
  <r>
    <x v="32"/>
    <s v="NF"/>
    <s v="000014"/>
    <s v="UNIMED NACIONAL - CNU"/>
    <s v="1.1.01.01"/>
    <d v="2026-05-11T00:00:00"/>
    <d v="2026-06-30T00:00:00"/>
    <n v="51.6"/>
    <n v="20.79"/>
    <x v="31"/>
    <x v="31"/>
    <s v="GLO"/>
    <x v="0"/>
  </r>
  <r>
    <x v="33"/>
    <s v="NF"/>
    <s v="000014"/>
    <s v="UNIMED NACIONAL - CNU"/>
    <s v="1.1.01.01"/>
    <d v="2026-05-11T00:00:00"/>
    <d v="2026-06-30T00:00:00"/>
    <n v="218908.98"/>
    <n v="798.31"/>
    <x v="32"/>
    <x v="32"/>
    <s v="GLO"/>
    <x v="0"/>
  </r>
  <r>
    <x v="34"/>
    <s v="NF"/>
    <s v="000014"/>
    <s v="UNIMED NACIONAL - CNU"/>
    <s v="1.1.01.01"/>
    <d v="2026-05-11T00:00:00"/>
    <d v="2026-06-30T00:00:00"/>
    <n v="60807.22"/>
    <n v="3622.29"/>
    <x v="33"/>
    <x v="33"/>
    <s v="GLO"/>
    <x v="3"/>
  </r>
  <r>
    <x v="35"/>
    <s v="NF"/>
    <s v="000014"/>
    <s v="UNIMED NACIONAL - CNU"/>
    <s v="1.1.01.01"/>
    <d v="2026-05-11T00:00:00"/>
    <d v="2026-06-30T00:00:00"/>
    <n v="24505.26"/>
    <n v="347.93"/>
    <x v="34"/>
    <x v="34"/>
    <s v="GLO"/>
    <x v="8"/>
  </r>
  <r>
    <x v="36"/>
    <s v="NF"/>
    <s v="000014"/>
    <s v="UNIMED NACIONAL - CNU"/>
    <s v="1.1.01.01"/>
    <d v="2026-05-11T00:00:00"/>
    <d v="2026-06-30T00:00:00"/>
    <n v="4622.5600000000004"/>
    <n v="138.87"/>
    <x v="35"/>
    <x v="35"/>
    <s v="GLO"/>
    <x v="10"/>
  </r>
  <r>
    <x v="37"/>
    <s v="NF"/>
    <s v="000014"/>
    <s v="UNIMED NACIONAL - CNU"/>
    <s v="1.1.01.01"/>
    <d v="2026-05-11T00:00:00"/>
    <d v="2026-06-30T00:00:00"/>
    <n v="138715.57999999999"/>
    <n v="758.35"/>
    <x v="36"/>
    <x v="36"/>
    <s v="GLO"/>
    <x v="7"/>
  </r>
  <r>
    <x v="38"/>
    <s v="NF"/>
    <s v="000014"/>
    <s v="UNIMED NACIONAL - CNU"/>
    <s v="1.1.01.01"/>
    <d v="2026-05-11T00:00:00"/>
    <d v="2026-06-30T00:00:00"/>
    <n v="2702.42"/>
    <n v="676.3"/>
    <x v="37"/>
    <x v="37"/>
    <s v="GLO"/>
    <x v="9"/>
  </r>
  <r>
    <x v="39"/>
    <s v="NF"/>
    <s v="000014"/>
    <s v="UNIMED NACIONAL - CNU"/>
    <s v="1.1.01.01"/>
    <d v="2026-05-20T00:00:00"/>
    <d v="2026-06-30T00:00:00"/>
    <n v="5800.82"/>
    <n v="44.33"/>
    <x v="38"/>
    <x v="38"/>
    <s v="GLO"/>
    <x v="0"/>
  </r>
  <r>
    <x v="40"/>
    <s v="NF"/>
    <s v="000014"/>
    <s v="UNIMED NACIONAL - CNU"/>
    <s v="1.1.01.01"/>
    <d v="2026-05-20T00:00:00"/>
    <d v="2026-06-30T00:00:00"/>
    <n v="1092373.3700000001"/>
    <n v="9686.9500000000007"/>
    <x v="39"/>
    <x v="39"/>
    <s v="GLO"/>
    <x v="0"/>
  </r>
  <r>
    <x v="41"/>
    <s v="NF"/>
    <s v="000014"/>
    <s v="UNIMED NACIONAL - CNU"/>
    <s v="1.1.01.01"/>
    <d v="2026-05-20T00:00:00"/>
    <d v="2026-06-30T00:00:00"/>
    <n v="90471.71"/>
    <n v="1904.97"/>
    <x v="40"/>
    <x v="40"/>
    <s v="GLO"/>
    <x v="3"/>
  </r>
  <r>
    <x v="42"/>
    <s v="NF"/>
    <s v="000014"/>
    <s v="UNIMED NACIONAL - CNU"/>
    <s v="1.1.01.01"/>
    <d v="2026-05-20T00:00:00"/>
    <d v="2026-06-30T00:00:00"/>
    <n v="309215.28000000003"/>
    <n v="4386.6099999999997"/>
    <x v="41"/>
    <x v="41"/>
    <s v="GLO"/>
    <x v="3"/>
  </r>
  <r>
    <x v="43"/>
    <s v="NF"/>
    <s v="000014"/>
    <s v="UNIMED NACIONAL - CNU"/>
    <s v="1.1.01.01"/>
    <d v="2026-05-20T00:00:00"/>
    <d v="2026-06-30T00:00:00"/>
    <n v="84627.01"/>
    <n v="64.290000000000006"/>
    <x v="42"/>
    <x v="42"/>
    <s v="GLO"/>
    <x v="4"/>
  </r>
  <r>
    <x v="44"/>
    <s v="NF"/>
    <s v="000014"/>
    <s v="UNIMED NACIONAL - CNU"/>
    <s v="1.1.01.01"/>
    <d v="2026-05-20T00:00:00"/>
    <d v="2026-06-30T00:00:00"/>
    <n v="53174.27"/>
    <n v="1222.77"/>
    <x v="43"/>
    <x v="43"/>
    <s v="GLO"/>
    <x v="8"/>
  </r>
  <r>
    <x v="45"/>
    <s v="NF"/>
    <s v="000014"/>
    <s v="UNIMED NACIONAL - CNU"/>
    <s v="1.1.01.01"/>
    <d v="2026-05-20T00:00:00"/>
    <d v="2026-06-30T00:00:00"/>
    <n v="430940.46"/>
    <n v="8098.21"/>
    <x v="44"/>
    <x v="44"/>
    <s v="GLO"/>
    <x v="10"/>
  </r>
  <r>
    <x v="46"/>
    <s v="NF"/>
    <s v="000014"/>
    <s v="UNIMED NACIONAL - CNU"/>
    <s v="1.1.01.01"/>
    <d v="2026-05-20T00:00:00"/>
    <d v="2026-06-30T00:00:00"/>
    <n v="4153.41"/>
    <n v="209.15"/>
    <x v="45"/>
    <x v="45"/>
    <s v="GLO"/>
    <x v="10"/>
  </r>
  <r>
    <x v="47"/>
    <s v="NF"/>
    <s v="000014"/>
    <s v="UNIMED NACIONAL - CNU"/>
    <s v="1.1.01.01"/>
    <d v="2026-05-20T00:00:00"/>
    <d v="2026-06-30T00:00:00"/>
    <n v="202131.20000000001"/>
    <n v="0.91"/>
    <x v="3"/>
    <x v="46"/>
    <s v="GLO"/>
    <x v="7"/>
  </r>
  <r>
    <x v="48"/>
    <s v="NF"/>
    <s v="000014"/>
    <s v="UNIMED NACIONAL - CNU"/>
    <s v="1.1.01.01"/>
    <d v="2026-05-20T00:00:00"/>
    <d v="2026-06-30T00:00:00"/>
    <n v="121686.47"/>
    <n v="6227.97"/>
    <x v="46"/>
    <x v="47"/>
    <s v="GLO"/>
    <x v="11"/>
  </r>
  <r>
    <x v="49"/>
    <s v="NF"/>
    <s v="000014"/>
    <s v="UNIMED NACIONAL - CNU"/>
    <s v="1.1.01.01"/>
    <d v="2026-05-20T00:00:00"/>
    <d v="2026-06-30T00:00:00"/>
    <n v="291140.46000000002"/>
    <n v="4068"/>
    <x v="47"/>
    <x v="48"/>
    <s v="GLO"/>
    <x v="9"/>
  </r>
  <r>
    <x v="50"/>
    <s v="NF"/>
    <s v="000039"/>
    <s v="UNIMED SEGUROS "/>
    <s v="1.1.01.01"/>
    <d v="2024-01-22T00:00:00"/>
    <d v="2026-06-11T00:00:00"/>
    <n v="23274.3"/>
    <n v="23274.3"/>
    <x v="48"/>
    <x v="49"/>
    <s v="GLO"/>
    <x v="12"/>
  </r>
  <r>
    <x v="51"/>
    <s v="NF"/>
    <s v="000039"/>
    <s v="UNIMED SEGUROS "/>
    <s v="1.1.01.01"/>
    <d v="2024-01-22T00:00:00"/>
    <d v="2026-06-11T00:00:00"/>
    <n v="43597.54"/>
    <n v="53.31"/>
    <x v="49"/>
    <x v="50"/>
    <s v="GLO"/>
    <x v="9"/>
  </r>
  <r>
    <x v="52"/>
    <s v="NF"/>
    <s v="000039"/>
    <s v="UNIMED SEGUROS "/>
    <s v="1.1.01.01"/>
    <d v="2024-04-22T00:00:00"/>
    <d v="2026-06-11T00:00:00"/>
    <n v="553357.79"/>
    <n v="725.09"/>
    <x v="50"/>
    <x v="51"/>
    <s v="GLO"/>
    <x v="12"/>
  </r>
  <r>
    <x v="53"/>
    <s v="NF"/>
    <s v="000039"/>
    <s v="UNIMED SEGUROS "/>
    <s v="1.1.01.01"/>
    <d v="2024-04-22T00:00:00"/>
    <d v="2026-06-11T00:00:00"/>
    <n v="52730.55"/>
    <n v="0.28000000000000003"/>
    <x v="10"/>
    <x v="52"/>
    <s v="GLO"/>
    <x v="12"/>
  </r>
  <r>
    <x v="54"/>
    <s v="NF"/>
    <s v="000039"/>
    <s v="UNIMED SEGUROS "/>
    <s v="1.1.01.01"/>
    <d v="2024-05-21T00:00:00"/>
    <d v="2026-06-11T00:00:00"/>
    <n v="560825.88"/>
    <n v="242"/>
    <x v="51"/>
    <x v="53"/>
    <s v="GLO"/>
    <x v="12"/>
  </r>
  <r>
    <x v="55"/>
    <s v="NF"/>
    <s v="000039"/>
    <s v="UNIMED SEGUROS "/>
    <s v="1.1.01.01"/>
    <d v="2024-05-21T00:00:00"/>
    <d v="2026-06-11T00:00:00"/>
    <n v="64005.56"/>
    <n v="0.31"/>
    <x v="10"/>
    <x v="52"/>
    <s v="GLO"/>
    <x v="12"/>
  </r>
  <r>
    <x v="56"/>
    <s v="NF"/>
    <s v="000039"/>
    <s v="UNIMED SEGUROS "/>
    <s v="1.1.01.01"/>
    <d v="2024-06-21T00:00:00"/>
    <d v="2026-06-11T00:00:00"/>
    <n v="553130.79"/>
    <n v="272.76"/>
    <x v="52"/>
    <x v="54"/>
    <s v="GLO"/>
    <x v="12"/>
  </r>
  <r>
    <x v="57"/>
    <s v="NF"/>
    <s v="000039"/>
    <s v="UNIMED SEGUROS "/>
    <s v="1.1.01.01"/>
    <d v="2024-06-21T00:00:00"/>
    <d v="2026-06-11T00:00:00"/>
    <n v="68083.62"/>
    <n v="280.94"/>
    <x v="53"/>
    <x v="55"/>
    <s v="GLO"/>
    <x v="11"/>
  </r>
  <r>
    <x v="58"/>
    <s v="NF"/>
    <s v="000039"/>
    <s v="UNIMED SEGUROS "/>
    <s v="1.1.01.01"/>
    <d v="2024-06-21T00:00:00"/>
    <d v="2026-06-11T00:00:00"/>
    <n v="50291.96"/>
    <n v="4.5"/>
    <x v="54"/>
    <x v="56"/>
    <s v="GLO"/>
    <x v="9"/>
  </r>
  <r>
    <x v="59"/>
    <s v="NF"/>
    <s v="000039"/>
    <s v="UNIMED SEGUROS "/>
    <s v="1.1.01.01"/>
    <d v="2024-06-21T00:00:00"/>
    <d v="2026-06-11T00:00:00"/>
    <n v="163442.45000000001"/>
    <n v="11001.76"/>
    <x v="55"/>
    <x v="57"/>
    <s v="GLO"/>
    <x v="9"/>
  </r>
  <r>
    <x v="60"/>
    <s v="NF"/>
    <s v="000039"/>
    <s v="UNIMED SEGUROS "/>
    <s v="1.1.01.01"/>
    <d v="2024-07-22T00:00:00"/>
    <d v="2026-06-11T00:00:00"/>
    <n v="82474.11"/>
    <n v="65.33"/>
    <x v="42"/>
    <x v="58"/>
    <s v="GLO"/>
    <x v="6"/>
  </r>
  <r>
    <x v="61"/>
    <s v="NF"/>
    <s v="000039"/>
    <s v="UNIMED SEGUROS "/>
    <s v="1.1.01.01"/>
    <d v="2024-07-22T00:00:00"/>
    <d v="2026-06-11T00:00:00"/>
    <n v="66369.119999999995"/>
    <n v="0.41"/>
    <x v="10"/>
    <x v="52"/>
    <s v="GLO"/>
    <x v="6"/>
  </r>
  <r>
    <x v="62"/>
    <s v="NF"/>
    <s v="000039"/>
    <s v="UNIMED SEGUROS "/>
    <s v="1.1.01.01"/>
    <d v="2024-07-22T00:00:00"/>
    <d v="2026-06-11T00:00:00"/>
    <n v="35269.839999999997"/>
    <n v="453.44"/>
    <x v="56"/>
    <x v="59"/>
    <s v="GLO"/>
    <x v="11"/>
  </r>
  <r>
    <x v="63"/>
    <s v="NF"/>
    <s v="000039"/>
    <s v="UNIMED SEGUROS "/>
    <s v="1.1.01.01"/>
    <d v="2024-07-22T00:00:00"/>
    <d v="2026-06-11T00:00:00"/>
    <n v="47027.88"/>
    <n v="15.03"/>
    <x v="57"/>
    <x v="60"/>
    <s v="GLO"/>
    <x v="9"/>
  </r>
  <r>
    <x v="64"/>
    <s v="NF"/>
    <s v="000039"/>
    <s v="UNIMED SEGUROS "/>
    <s v="1.1.01.01"/>
    <d v="2024-07-22T00:00:00"/>
    <d v="2026-06-11T00:00:00"/>
    <n v="196602.12"/>
    <n v="10254.700000000001"/>
    <x v="58"/>
    <x v="61"/>
    <s v="GLO"/>
    <x v="9"/>
  </r>
  <r>
    <x v="65"/>
    <s v="NF"/>
    <s v="000039"/>
    <s v="UNIMED SEGUROS "/>
    <s v="1.1.01.01"/>
    <d v="2024-08-21T00:00:00"/>
    <d v="2026-06-11T00:00:00"/>
    <n v="586904.54"/>
    <n v="690.82"/>
    <x v="59"/>
    <x v="62"/>
    <s v="GLO"/>
    <x v="12"/>
  </r>
  <r>
    <x v="66"/>
    <s v="NF"/>
    <s v="000039"/>
    <s v="UNIMED SEGUROS "/>
    <s v="1.1.01.01"/>
    <d v="2024-08-21T00:00:00"/>
    <d v="2026-06-11T00:00:00"/>
    <n v="72776.67"/>
    <n v="15.78"/>
    <x v="57"/>
    <x v="63"/>
    <s v="GLO"/>
    <x v="6"/>
  </r>
  <r>
    <x v="67"/>
    <s v="NF"/>
    <s v="000039"/>
    <s v="UNIMED SEGUROS "/>
    <s v="1.1.01.01"/>
    <d v="2024-08-21T00:00:00"/>
    <d v="2026-06-11T00:00:00"/>
    <n v="117029.74"/>
    <n v="16514.32"/>
    <x v="60"/>
    <x v="64"/>
    <s v="GLO"/>
    <x v="11"/>
  </r>
  <r>
    <x v="68"/>
    <s v="NF"/>
    <s v="000039"/>
    <s v="UNIMED SEGUROS "/>
    <s v="1.1.01.01"/>
    <d v="2024-08-21T00:00:00"/>
    <d v="2026-06-11T00:00:00"/>
    <n v="43145.65"/>
    <n v="318.13"/>
    <x v="61"/>
    <x v="65"/>
    <s v="GLO"/>
    <x v="9"/>
  </r>
  <r>
    <x v="69"/>
    <s v="NF"/>
    <s v="000039"/>
    <s v="UNIMED SEGUROS "/>
    <s v="1.1.01.01"/>
    <d v="2024-08-21T00:00:00"/>
    <d v="2026-06-11T00:00:00"/>
    <n v="149686.87"/>
    <n v="4792.17"/>
    <x v="62"/>
    <x v="66"/>
    <s v="GLO"/>
    <x v="9"/>
  </r>
  <r>
    <x v="70"/>
    <s v="NF"/>
    <s v="000039"/>
    <s v="UNIMED SEGUROS "/>
    <s v="1.1.01.01"/>
    <d v="2024-09-23T00:00:00"/>
    <d v="2026-06-11T00:00:00"/>
    <n v="132937.21"/>
    <n v="1102.83"/>
    <x v="63"/>
    <x v="67"/>
    <s v="GLO"/>
    <x v="0"/>
  </r>
  <r>
    <x v="71"/>
    <s v="NF"/>
    <s v="000039"/>
    <s v="UNIMED SEGUROS "/>
    <s v="1.1.01.01"/>
    <d v="2024-09-23T00:00:00"/>
    <d v="2026-06-11T00:00:00"/>
    <n v="605287.54"/>
    <n v="1329.12"/>
    <x v="64"/>
    <x v="68"/>
    <s v="GLO"/>
    <x v="12"/>
  </r>
  <r>
    <x v="72"/>
    <s v="NF"/>
    <s v="000039"/>
    <s v="UNIMED SEGUROS "/>
    <s v="1.1.01.01"/>
    <d v="2024-09-23T00:00:00"/>
    <d v="2026-06-11T00:00:00"/>
    <n v="91204.37"/>
    <n v="1967.23"/>
    <x v="65"/>
    <x v="69"/>
    <s v="GLO"/>
    <x v="12"/>
  </r>
  <r>
    <x v="73"/>
    <s v="NF"/>
    <s v="000039"/>
    <s v="UNIMED SEGUROS "/>
    <s v="1.1.01.01"/>
    <d v="2024-09-23T00:00:00"/>
    <d v="2026-06-11T00:00:00"/>
    <n v="67417.009999999995"/>
    <n v="761.65"/>
    <x v="66"/>
    <x v="70"/>
    <s v="GLO"/>
    <x v="4"/>
  </r>
  <r>
    <x v="74"/>
    <s v="NF"/>
    <s v="000039"/>
    <s v="UNIMED SEGUROS "/>
    <s v="1.1.01.01"/>
    <d v="2024-09-23T00:00:00"/>
    <d v="2026-06-11T00:00:00"/>
    <n v="23954.99"/>
    <n v="652.88"/>
    <x v="67"/>
    <x v="71"/>
    <s v="GLO"/>
    <x v="4"/>
  </r>
  <r>
    <x v="75"/>
    <s v="NF"/>
    <s v="000039"/>
    <s v="UNIMED SEGUROS "/>
    <s v="1.1.01.01"/>
    <d v="2024-09-23T00:00:00"/>
    <d v="2026-06-11T00:00:00"/>
    <n v="384049.58"/>
    <n v="380.64"/>
    <x v="68"/>
    <x v="72"/>
    <s v="GLO"/>
    <x v="4"/>
  </r>
  <r>
    <x v="76"/>
    <s v="NF"/>
    <s v="000039"/>
    <s v="UNIMED SEGUROS "/>
    <s v="1.1.01.01"/>
    <d v="2024-09-23T00:00:00"/>
    <d v="2026-06-11T00:00:00"/>
    <n v="97645.38"/>
    <n v="13046.38"/>
    <x v="69"/>
    <x v="73"/>
    <s v="GLO"/>
    <x v="6"/>
  </r>
  <r>
    <x v="77"/>
    <s v="NF"/>
    <s v="000039"/>
    <s v="UNIMED SEGUROS "/>
    <s v="1.1.01.01"/>
    <d v="2024-09-23T00:00:00"/>
    <d v="2026-06-11T00:00:00"/>
    <n v="69014.009999999995"/>
    <n v="716.02"/>
    <x v="70"/>
    <x v="74"/>
    <s v="GLO"/>
    <x v="6"/>
  </r>
  <r>
    <x v="78"/>
    <s v="NF"/>
    <s v="000039"/>
    <s v="UNIMED SEGUROS "/>
    <s v="1.1.01.01"/>
    <d v="2024-09-23T00:00:00"/>
    <d v="2026-06-11T00:00:00"/>
    <n v="118451.87"/>
    <n v="14503.95"/>
    <x v="71"/>
    <x v="75"/>
    <s v="GLO"/>
    <x v="11"/>
  </r>
  <r>
    <x v="79"/>
    <s v="NF"/>
    <s v="000039"/>
    <s v="UNIMED SEGUROS "/>
    <s v="1.1.01.01"/>
    <d v="2024-09-23T00:00:00"/>
    <d v="2026-06-11T00:00:00"/>
    <n v="45584.39"/>
    <n v="60.92"/>
    <x v="20"/>
    <x v="20"/>
    <s v="GLO"/>
    <x v="9"/>
  </r>
  <r>
    <x v="80"/>
    <s v="NF"/>
    <s v="000039"/>
    <s v="UNIMED SEGUROS "/>
    <s v="1.1.01.01"/>
    <d v="2024-09-23T00:00:00"/>
    <d v="2026-06-11T00:00:00"/>
    <n v="156762.4"/>
    <n v="838.19"/>
    <x v="72"/>
    <x v="76"/>
    <s v="GLO"/>
    <x v="9"/>
  </r>
  <r>
    <x v="71"/>
    <s v="NF"/>
    <s v="000039"/>
    <s v="UNIMED SEGUROS "/>
    <s v="1.1.01.01"/>
    <d v="2024-09-23T00:00:00"/>
    <d v="2026-06-11T00:00:00"/>
    <n v="185493.94"/>
    <n v="1642.99"/>
    <x v="73"/>
    <x v="77"/>
    <s v="GLO"/>
    <x v="9"/>
  </r>
  <r>
    <x v="81"/>
    <s v="NF"/>
    <s v="000039"/>
    <s v="UNIMED SEGUROS "/>
    <s v="1.1.01.01"/>
    <d v="2024-10-21T00:00:00"/>
    <d v="2026-06-11T00:00:00"/>
    <n v="64119.49"/>
    <n v="0.03"/>
    <x v="10"/>
    <x v="10"/>
    <s v="GLO"/>
    <x v="4"/>
  </r>
  <r>
    <x v="82"/>
    <s v="NF"/>
    <s v="000039"/>
    <s v="UNIMED SEGUROS "/>
    <s v="1.1.01.01"/>
    <d v="2024-10-21T00:00:00"/>
    <d v="2026-06-11T00:00:00"/>
    <n v="110011.04"/>
    <n v="2444.11"/>
    <x v="74"/>
    <x v="78"/>
    <s v="GLO"/>
    <x v="6"/>
  </r>
  <r>
    <x v="83"/>
    <s v="NF"/>
    <s v="000039"/>
    <s v="UNIMED SEGUROS "/>
    <s v="1.1.01.01"/>
    <d v="2024-10-21T00:00:00"/>
    <d v="2026-06-11T00:00:00"/>
    <n v="74000.240000000005"/>
    <n v="194.13"/>
    <x v="75"/>
    <x v="79"/>
    <s v="GLO"/>
    <x v="6"/>
  </r>
  <r>
    <x v="19"/>
    <s v="NF"/>
    <s v="000039"/>
    <s v="UNIMED SEGUROS "/>
    <s v="1.1.01.01"/>
    <d v="2024-10-21T00:00:00"/>
    <d v="2026-06-11T00:00:00"/>
    <n v="7874.45"/>
    <n v="489.48"/>
    <x v="76"/>
    <x v="80"/>
    <s v="GLO"/>
    <x v="11"/>
  </r>
  <r>
    <x v="84"/>
    <s v="NF"/>
    <s v="000039"/>
    <s v="UNIMED SEGUROS "/>
    <s v="1.1.01.01"/>
    <d v="2024-10-21T00:00:00"/>
    <d v="2026-06-11T00:00:00"/>
    <n v="115449.36"/>
    <n v="2029.11"/>
    <x v="77"/>
    <x v="81"/>
    <s v="GLO"/>
    <x v="11"/>
  </r>
  <r>
    <x v="85"/>
    <s v="NF"/>
    <s v="000039"/>
    <s v="UNIMED SEGUROS "/>
    <s v="1.1.01.01"/>
    <d v="2024-10-21T00:00:00"/>
    <d v="2026-06-11T00:00:00"/>
    <n v="168235.06"/>
    <n v="1948.17"/>
    <x v="78"/>
    <x v="82"/>
    <s v="GLO"/>
    <x v="9"/>
  </r>
  <r>
    <x v="86"/>
    <s v="NF"/>
    <s v="000039"/>
    <s v="UNIMED SEGUROS "/>
    <s v="1.1.01.01"/>
    <d v="2024-11-21T00:00:00"/>
    <d v="2026-06-11T00:00:00"/>
    <n v="251457.38"/>
    <n v="11459.38"/>
    <x v="79"/>
    <x v="83"/>
    <s v="GLO"/>
    <x v="0"/>
  </r>
  <r>
    <x v="87"/>
    <s v="NF"/>
    <s v="000039"/>
    <s v="UNIMED SEGUROS "/>
    <s v="1.1.01.01"/>
    <d v="2024-11-21T00:00:00"/>
    <d v="2026-06-11T00:00:00"/>
    <n v="409537.85"/>
    <n v="500.31"/>
    <x v="80"/>
    <x v="84"/>
    <s v="GLO"/>
    <x v="0"/>
  </r>
  <r>
    <x v="88"/>
    <s v="NF"/>
    <s v="000039"/>
    <s v="UNIMED SEGUROS "/>
    <s v="1.1.01.01"/>
    <d v="2024-11-21T00:00:00"/>
    <d v="2026-06-11T00:00:00"/>
    <n v="6838.15"/>
    <n v="125.11"/>
    <x v="81"/>
    <x v="85"/>
    <s v="GLO"/>
    <x v="12"/>
  </r>
  <r>
    <x v="89"/>
    <s v="NF"/>
    <s v="000039"/>
    <s v="UNIMED SEGUROS "/>
    <s v="1.1.01.01"/>
    <d v="2024-11-21T00:00:00"/>
    <d v="2026-06-11T00:00:00"/>
    <n v="594828.19999999995"/>
    <n v="2148.06"/>
    <x v="82"/>
    <x v="86"/>
    <s v="GLO"/>
    <x v="12"/>
  </r>
  <r>
    <x v="90"/>
    <s v="NF"/>
    <s v="000039"/>
    <s v="UNIMED SEGUROS "/>
    <s v="1.1.01.01"/>
    <d v="2024-11-21T00:00:00"/>
    <d v="2026-06-11T00:00:00"/>
    <n v="120070.61"/>
    <n v="57.81"/>
    <x v="83"/>
    <x v="87"/>
    <s v="GLO"/>
    <x v="3"/>
  </r>
  <r>
    <x v="91"/>
    <s v="NF"/>
    <s v="000039"/>
    <s v="UNIMED SEGUROS "/>
    <s v="1.1.01.01"/>
    <d v="2024-11-21T00:00:00"/>
    <d v="2026-06-11T00:00:00"/>
    <n v="116524.63"/>
    <n v="6728.57"/>
    <x v="84"/>
    <x v="88"/>
    <s v="GLO"/>
    <x v="6"/>
  </r>
  <r>
    <x v="92"/>
    <s v="NF"/>
    <s v="000039"/>
    <s v="UNIMED SEGUROS "/>
    <s v="1.1.01.01"/>
    <d v="2024-11-21T00:00:00"/>
    <d v="2026-06-11T00:00:00"/>
    <n v="78822.75"/>
    <n v="357.73"/>
    <x v="85"/>
    <x v="89"/>
    <s v="GLO"/>
    <x v="6"/>
  </r>
  <r>
    <x v="93"/>
    <s v="NF"/>
    <s v="000039"/>
    <s v="UNIMED SEGUROS "/>
    <s v="1.1.01.01"/>
    <d v="2024-11-21T00:00:00"/>
    <d v="2026-06-11T00:00:00"/>
    <n v="116024.86"/>
    <n v="5550.94"/>
    <x v="86"/>
    <x v="90"/>
    <s v="GLO"/>
    <x v="11"/>
  </r>
  <r>
    <x v="94"/>
    <s v="NF"/>
    <s v="000039"/>
    <s v="UNIMED SEGUROS "/>
    <s v="1.1.01.01"/>
    <d v="2024-11-21T00:00:00"/>
    <d v="2026-06-11T00:00:00"/>
    <n v="197491.68"/>
    <n v="15.11"/>
    <x v="57"/>
    <x v="60"/>
    <s v="GLO"/>
    <x v="9"/>
  </r>
  <r>
    <x v="95"/>
    <s v="NF"/>
    <s v="000039"/>
    <s v="UNIMED SEGUROS "/>
    <s v="1.1.01.01"/>
    <d v="2024-12-20T00:00:00"/>
    <d v="2026-06-11T00:00:00"/>
    <n v="248427.26"/>
    <n v="1647.27"/>
    <x v="87"/>
    <x v="91"/>
    <s v="GLO"/>
    <x v="0"/>
  </r>
  <r>
    <x v="96"/>
    <s v="NF"/>
    <s v="000039"/>
    <s v="UNIMED SEGUROS "/>
    <s v="1.1.01.01"/>
    <d v="2024-12-20T00:00:00"/>
    <d v="2026-06-11T00:00:00"/>
    <n v="112690.79"/>
    <n v="5.0999999999999996"/>
    <x v="54"/>
    <x v="92"/>
    <s v="GLO"/>
    <x v="0"/>
  </r>
  <r>
    <x v="97"/>
    <s v="NF"/>
    <s v="000039"/>
    <s v="UNIMED SEGUROS "/>
    <s v="1.1.01.01"/>
    <d v="2024-12-20T00:00:00"/>
    <d v="2026-06-11T00:00:00"/>
    <n v="360740.65"/>
    <n v="250.01"/>
    <x v="88"/>
    <x v="93"/>
    <s v="GLO"/>
    <x v="0"/>
  </r>
  <r>
    <x v="98"/>
    <s v="NF"/>
    <s v="000039"/>
    <s v="UNIMED SEGUROS "/>
    <s v="1.1.01.01"/>
    <d v="2024-12-20T00:00:00"/>
    <d v="2026-06-11T00:00:00"/>
    <n v="36725.68"/>
    <n v="341.09"/>
    <x v="89"/>
    <x v="94"/>
    <s v="GLO"/>
    <x v="12"/>
  </r>
  <r>
    <x v="99"/>
    <s v="NF"/>
    <s v="000039"/>
    <s v="UNIMED SEGUROS "/>
    <s v="1.1.01.01"/>
    <d v="2024-12-20T00:00:00"/>
    <d v="2026-06-11T00:00:00"/>
    <n v="605147.74"/>
    <n v="951.81"/>
    <x v="90"/>
    <x v="95"/>
    <s v="GLO"/>
    <x v="12"/>
  </r>
  <r>
    <x v="100"/>
    <s v="NF"/>
    <s v="000039"/>
    <s v="UNIMED SEGUROS "/>
    <s v="1.1.01.01"/>
    <d v="2024-12-20T00:00:00"/>
    <d v="2026-06-11T00:00:00"/>
    <n v="10387.120000000001"/>
    <n v="1328.47"/>
    <x v="64"/>
    <x v="96"/>
    <s v="GLO"/>
    <x v="4"/>
  </r>
  <r>
    <x v="101"/>
    <s v="NF"/>
    <s v="000039"/>
    <s v="UNIMED SEGUROS "/>
    <s v="1.1.01.01"/>
    <d v="2024-12-20T00:00:00"/>
    <d v="2026-06-11T00:00:00"/>
    <n v="326529.33"/>
    <n v="7.6"/>
    <x v="8"/>
    <x v="97"/>
    <s v="GLO"/>
    <x v="4"/>
  </r>
  <r>
    <x v="102"/>
    <s v="NF"/>
    <s v="000039"/>
    <s v="UNIMED SEGUROS "/>
    <s v="1.1.01.01"/>
    <d v="2024-12-20T00:00:00"/>
    <d v="2026-06-11T00:00:00"/>
    <n v="44375.67"/>
    <n v="31.5"/>
    <x v="23"/>
    <x v="98"/>
    <s v="GLO"/>
    <x v="4"/>
  </r>
  <r>
    <x v="103"/>
    <s v="NF"/>
    <s v="000039"/>
    <s v="UNIMED SEGUROS "/>
    <s v="1.1.01.01"/>
    <d v="2024-12-20T00:00:00"/>
    <d v="2026-06-11T00:00:00"/>
    <n v="103197.06"/>
    <n v="383.16"/>
    <x v="91"/>
    <x v="99"/>
    <s v="GLO"/>
    <x v="6"/>
  </r>
  <r>
    <x v="104"/>
    <s v="NF"/>
    <s v="000039"/>
    <s v="UNIMED SEGUROS "/>
    <s v="1.1.01.01"/>
    <d v="2024-12-20T00:00:00"/>
    <d v="2026-06-11T00:00:00"/>
    <n v="118799.6"/>
    <n v="315.57"/>
    <x v="92"/>
    <x v="100"/>
    <s v="GLO"/>
    <x v="11"/>
  </r>
  <r>
    <x v="105"/>
    <s v="NF"/>
    <s v="000039"/>
    <s v="UNIMED SEGUROS "/>
    <s v="1.1.01.01"/>
    <d v="2024-12-20T00:00:00"/>
    <d v="2026-06-11T00:00:00"/>
    <n v="3465.96"/>
    <n v="250"/>
    <x v="88"/>
    <x v="93"/>
    <s v="GLO"/>
    <x v="9"/>
  </r>
  <r>
    <x v="106"/>
    <s v="NF"/>
    <s v="000039"/>
    <s v="UNIMED SEGUROS "/>
    <s v="1.1.01.01"/>
    <d v="2024-12-20T00:00:00"/>
    <d v="2026-06-11T00:00:00"/>
    <n v="28765.78"/>
    <n v="203.91"/>
    <x v="93"/>
    <x v="101"/>
    <s v="GLO"/>
    <x v="9"/>
  </r>
  <r>
    <x v="107"/>
    <s v="NF"/>
    <s v="000039"/>
    <s v="UNIMED SEGUROS "/>
    <s v="1.1.01.01"/>
    <d v="2024-12-20T00:00:00"/>
    <d v="2026-06-11T00:00:00"/>
    <n v="193754.1"/>
    <n v="1515.46"/>
    <x v="94"/>
    <x v="102"/>
    <s v="GLO"/>
    <x v="9"/>
  </r>
  <r>
    <x v="108"/>
    <s v="NF"/>
    <s v="000039"/>
    <s v="UNIMED SEGUROS "/>
    <s v="1.1.01.01"/>
    <d v="2026-05-21T00:00:00"/>
    <d v="2026-06-30T00:00:00"/>
    <n v="73613.41"/>
    <n v="1.55"/>
    <x v="3"/>
    <x v="3"/>
    <s v="GLO"/>
    <x v="0"/>
  </r>
  <r>
    <x v="109"/>
    <s v="NF"/>
    <s v="000039"/>
    <s v="UNIMED SEGUROS "/>
    <s v="1.1.01.01"/>
    <d v="2026-05-21T00:00:00"/>
    <d v="2026-06-30T00:00:00"/>
    <n v="163591.57"/>
    <n v="60.65"/>
    <x v="95"/>
    <x v="103"/>
    <s v="GLO"/>
    <x v="0"/>
  </r>
  <r>
    <x v="110"/>
    <s v="NF"/>
    <s v="000039"/>
    <s v="UNIMED SEGUROS "/>
    <s v="1.1.01.01"/>
    <d v="2026-05-21T00:00:00"/>
    <d v="2026-06-30T00:00:00"/>
    <n v="583836.81000000006"/>
    <n v="30900.02"/>
    <x v="96"/>
    <x v="104"/>
    <s v="GLO"/>
    <x v="0"/>
  </r>
  <r>
    <x v="111"/>
    <s v="NF"/>
    <s v="000039"/>
    <s v="UNIMED SEGUROS "/>
    <s v="1.1.01.01"/>
    <d v="2026-05-21T00:00:00"/>
    <d v="2026-06-30T00:00:00"/>
    <n v="180831.6"/>
    <n v="3228.69"/>
    <x v="97"/>
    <x v="105"/>
    <s v="GLO"/>
    <x v="0"/>
  </r>
  <r>
    <x v="112"/>
    <s v="NF"/>
    <s v="000039"/>
    <s v="UNIMED SEGUROS "/>
    <s v="1.1.01.01"/>
    <d v="2026-05-21T00:00:00"/>
    <d v="2026-06-30T00:00:00"/>
    <n v="8059.92"/>
    <n v="85.11"/>
    <x v="98"/>
    <x v="106"/>
    <s v="GLO"/>
    <x v="12"/>
  </r>
  <r>
    <x v="113"/>
    <s v="NF"/>
    <s v="000039"/>
    <s v="UNIMED SEGUROS "/>
    <s v="1.1.01.01"/>
    <d v="2026-05-21T00:00:00"/>
    <d v="2026-06-30T00:00:00"/>
    <n v="78873.91"/>
    <n v="6.54"/>
    <x v="99"/>
    <x v="107"/>
    <s v="GLO"/>
    <x v="12"/>
  </r>
  <r>
    <x v="114"/>
    <s v="NF"/>
    <s v="000039"/>
    <s v="UNIMED SEGUROS "/>
    <s v="1.1.01.01"/>
    <d v="2026-05-21T00:00:00"/>
    <d v="2026-06-30T00:00:00"/>
    <n v="442489.41"/>
    <n v="1.59"/>
    <x v="3"/>
    <x v="3"/>
    <s v="GLO"/>
    <x v="12"/>
  </r>
  <r>
    <x v="115"/>
    <s v="NF"/>
    <s v="000039"/>
    <s v="UNIMED SEGUROS "/>
    <s v="1.1.01.01"/>
    <d v="2026-05-21T00:00:00"/>
    <d v="2026-06-30T00:00:00"/>
    <n v="2641.63"/>
    <n v="414.92"/>
    <x v="100"/>
    <x v="108"/>
    <s v="GLO"/>
    <x v="12"/>
  </r>
  <r>
    <x v="116"/>
    <s v="NF"/>
    <s v="000039"/>
    <s v="UNIMED SEGUROS "/>
    <s v="1.1.01.01"/>
    <d v="2026-05-21T00:00:00"/>
    <d v="2026-06-30T00:00:00"/>
    <n v="183405.14"/>
    <n v="2228.04"/>
    <x v="101"/>
    <x v="109"/>
    <s v="GLO"/>
    <x v="3"/>
  </r>
  <r>
    <x v="117"/>
    <s v="NF"/>
    <s v="000039"/>
    <s v="UNIMED SEGUROS "/>
    <s v="1.1.01.01"/>
    <d v="2026-05-21T00:00:00"/>
    <d v="2026-06-30T00:00:00"/>
    <n v="365428.85"/>
    <n v="0.06"/>
    <x v="10"/>
    <x v="10"/>
    <s v="GLO"/>
    <x v="4"/>
  </r>
  <r>
    <x v="118"/>
    <s v="NF"/>
    <s v="000039"/>
    <s v="UNIMED SEGUROS "/>
    <s v="1.1.01.01"/>
    <d v="2026-05-21T00:00:00"/>
    <d v="2026-06-30T00:00:00"/>
    <n v="51742.2"/>
    <n v="0.05"/>
    <x v="10"/>
    <x v="10"/>
    <s v="GLO"/>
    <x v="4"/>
  </r>
  <r>
    <x v="119"/>
    <s v="NF"/>
    <s v="000039"/>
    <s v="UNIMED SEGUROS "/>
    <s v="1.1.01.01"/>
    <d v="2026-05-21T00:00:00"/>
    <d v="2026-06-30T00:00:00"/>
    <n v="283981.19"/>
    <n v="0.02"/>
    <x v="10"/>
    <x v="10"/>
    <s v="GLO"/>
    <x v="4"/>
  </r>
  <r>
    <x v="120"/>
    <s v="NF"/>
    <s v="000039"/>
    <s v="UNIMED SEGUROS "/>
    <s v="1.1.01.01"/>
    <d v="2026-05-21T00:00:00"/>
    <d v="2026-06-30T00:00:00"/>
    <n v="127817.51"/>
    <n v="0.64"/>
    <x v="10"/>
    <x v="110"/>
    <s v="GLO"/>
    <x v="11"/>
  </r>
  <r>
    <x v="121"/>
    <s v="NF"/>
    <s v="000039"/>
    <s v="UNIMED SEGUROS "/>
    <s v="1.1.01.01"/>
    <d v="2026-05-21T00:00:00"/>
    <d v="2026-06-30T00:00:00"/>
    <n v="340113.31"/>
    <n v="10.08"/>
    <x v="102"/>
    <x v="111"/>
    <s v="GLO"/>
    <x v="11"/>
  </r>
  <r>
    <x v="122"/>
    <s v="NF"/>
    <s v="000015"/>
    <s v="USISAUDE"/>
    <s v="1.1.01.01"/>
    <d v="2025-09-30T00:00:00"/>
    <d v="2026-06-16T00:00:00"/>
    <n v="7136.06"/>
    <n v="7136.06"/>
    <x v="103"/>
    <x v="112"/>
    <s v="GLO"/>
    <x v="0"/>
  </r>
  <r>
    <x v="123"/>
    <s v="NF"/>
    <s v="000012"/>
    <s v="VIVEST"/>
    <s v="1.1.01.01"/>
    <d v="2026-05-15T00:00:00"/>
    <d v="2026-06-30T00:00:00"/>
    <n v="4330.08"/>
    <n v="75.040000000000006"/>
    <x v="104"/>
    <x v="113"/>
    <s v="GLO"/>
    <x v="0"/>
  </r>
  <r>
    <x v="124"/>
    <s v="NF"/>
    <s v="000012"/>
    <s v="VIVEST"/>
    <s v="1.1.01.01"/>
    <d v="2026-05-15T00:00:00"/>
    <d v="2026-06-30T00:00:00"/>
    <n v="2838.5"/>
    <n v="6.77"/>
    <x v="99"/>
    <x v="107"/>
    <s v="GL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B63A4-A230-4CE4-A2C1-CA5E5C92BF70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F9" firstHeaderRow="1" firstDataRow="2" firstDataCol="2"/>
  <pivotFields count="13">
    <pivotField axis="axisRow" compact="0" outline="0" showAll="0" defaultSubtotal="0">
      <items count="125">
        <item x="60"/>
        <item x="61"/>
        <item x="66"/>
        <item x="76"/>
        <item x="77"/>
        <item x="82"/>
        <item x="83"/>
        <item x="91"/>
        <item x="92"/>
        <item x="103"/>
        <item x="57"/>
        <item x="62"/>
        <item x="67"/>
        <item x="78"/>
        <item x="37"/>
        <item x="47"/>
        <item x="19"/>
        <item x="84"/>
        <item x="93"/>
        <item x="104"/>
        <item x="17"/>
        <item x="48"/>
        <item x="120"/>
        <item x="121"/>
        <item x="50"/>
        <item x="52"/>
        <item x="53"/>
        <item x="54"/>
        <item x="55"/>
        <item x="56"/>
        <item x="35"/>
        <item x="21"/>
        <item x="44"/>
        <item x="51"/>
        <item x="65"/>
        <item x="58"/>
        <item x="59"/>
        <item x="63"/>
        <item x="64"/>
        <item x="68"/>
        <item x="69"/>
        <item x="79"/>
        <item x="80"/>
        <item x="71"/>
        <item x="72"/>
        <item x="85"/>
        <item x="94"/>
        <item x="105"/>
        <item x="106"/>
        <item x="107"/>
        <item x="88"/>
        <item x="89"/>
        <item x="98"/>
        <item x="99"/>
        <item x="36"/>
        <item x="46"/>
        <item x="45"/>
        <item x="38"/>
        <item x="22"/>
        <item x="49"/>
        <item x="14"/>
        <item x="113"/>
        <item x="114"/>
        <item x="112"/>
        <item x="115"/>
        <item x="13"/>
        <item x="90"/>
        <item x="34"/>
        <item x="41"/>
        <item x="42"/>
        <item x="15"/>
        <item x="116"/>
        <item x="73"/>
        <item x="74"/>
        <item x="75"/>
        <item x="81"/>
        <item x="100"/>
        <item x="101"/>
        <item x="102"/>
        <item x="43"/>
        <item x="16"/>
        <item x="118"/>
        <item x="119"/>
        <item x="117"/>
        <item x="25"/>
        <item x="26"/>
        <item x="27"/>
        <item x="24"/>
        <item x="29"/>
        <item x="28"/>
        <item x="70"/>
        <item x="86"/>
        <item x="87"/>
        <item x="95"/>
        <item x="96"/>
        <item x="97"/>
        <item x="122"/>
        <item x="1"/>
        <item x="0"/>
        <item x="30"/>
        <item x="31"/>
        <item x="33"/>
        <item x="32"/>
        <item x="2"/>
        <item x="3"/>
        <item x="4"/>
        <item x="123"/>
        <item x="124"/>
        <item x="20"/>
        <item x="23"/>
        <item x="39"/>
        <item x="40"/>
        <item x="9"/>
        <item x="10"/>
        <item x="11"/>
        <item x="12"/>
        <item x="111"/>
        <item x="110"/>
        <item x="109"/>
        <item x="108"/>
        <item x="8"/>
        <item x="7"/>
        <item x="6"/>
        <item x="5"/>
        <item x="18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dataField="1" compact="0" numFmtId="43" outline="0" showAll="0"/>
    <pivotField dataField="1" compact="0" numFmtId="43" outline="0" showAll="0"/>
    <pivotField dataField="1" compact="0" numFmtId="43" outline="0" showAll="0" defaultSubtotal="0">
      <items count="105">
        <item x="10"/>
        <item x="3"/>
        <item x="17"/>
        <item x="54"/>
        <item x="99"/>
        <item x="8"/>
        <item x="102"/>
        <item x="9"/>
        <item x="57"/>
        <item x="11"/>
        <item x="31"/>
        <item x="25"/>
        <item x="23"/>
        <item x="38"/>
        <item x="19"/>
        <item x="49"/>
        <item x="83"/>
        <item x="95"/>
        <item x="20"/>
        <item x="42"/>
        <item x="104"/>
        <item x="98"/>
        <item x="26"/>
        <item x="12"/>
        <item x="21"/>
        <item x="81"/>
        <item x="18"/>
        <item x="35"/>
        <item x="22"/>
        <item x="16"/>
        <item x="13"/>
        <item x="7"/>
        <item x="75"/>
        <item x="93"/>
        <item x="45"/>
        <item x="4"/>
        <item x="51"/>
        <item x="88"/>
        <item x="2"/>
        <item x="52"/>
        <item x="53"/>
        <item x="29"/>
        <item x="92"/>
        <item x="61"/>
        <item x="89"/>
        <item x="34"/>
        <item x="85"/>
        <item x="68"/>
        <item x="14"/>
        <item x="91"/>
        <item x="100"/>
        <item x="56"/>
        <item x="76"/>
        <item x="80"/>
        <item x="1"/>
        <item x="67"/>
        <item x="37"/>
        <item x="59"/>
        <item x="70"/>
        <item x="50"/>
        <item x="36"/>
        <item x="66"/>
        <item x="32"/>
        <item x="5"/>
        <item x="72"/>
        <item x="90"/>
        <item x="6"/>
        <item x="63"/>
        <item x="43"/>
        <item x="30"/>
        <item x="64"/>
        <item x="24"/>
        <item x="94"/>
        <item x="73"/>
        <item x="87"/>
        <item x="0"/>
        <item x="40"/>
        <item x="78"/>
        <item x="65"/>
        <item x="77"/>
        <item x="82"/>
        <item x="101"/>
        <item x="74"/>
        <item x="28"/>
        <item x="97"/>
        <item x="33"/>
        <item x="47"/>
        <item x="41"/>
        <item x="62"/>
        <item x="27"/>
        <item x="86"/>
        <item x="46"/>
        <item x="84"/>
        <item x="103"/>
        <item x="44"/>
        <item x="39"/>
        <item x="58"/>
        <item x="55"/>
        <item x="79"/>
        <item x="69"/>
        <item x="71"/>
        <item x="60"/>
        <item x="48"/>
        <item x="15"/>
        <item x="96"/>
      </items>
    </pivotField>
    <pivotField dataField="1" compact="0" numFmtId="43" outline="0" showAll="0">
      <items count="115">
        <item x="10"/>
        <item x="52"/>
        <item x="110"/>
        <item x="46"/>
        <item x="3"/>
        <item x="17"/>
        <item x="56"/>
        <item x="92"/>
        <item x="107"/>
        <item x="8"/>
        <item x="97"/>
        <item x="111"/>
        <item x="9"/>
        <item x="60"/>
        <item x="63"/>
        <item x="11"/>
        <item x="31"/>
        <item x="25"/>
        <item x="23"/>
        <item x="98"/>
        <item x="38"/>
        <item x="19"/>
        <item x="50"/>
        <item x="87"/>
        <item x="103"/>
        <item x="20"/>
        <item x="42"/>
        <item x="58"/>
        <item x="113"/>
        <item x="106"/>
        <item x="26"/>
        <item x="12"/>
        <item x="21"/>
        <item x="85"/>
        <item x="18"/>
        <item x="35"/>
        <item x="22"/>
        <item x="16"/>
        <item x="13"/>
        <item x="7"/>
        <item x="79"/>
        <item x="101"/>
        <item x="45"/>
        <item x="4"/>
        <item x="53"/>
        <item x="93"/>
        <item x="2"/>
        <item x="54"/>
        <item x="55"/>
        <item x="29"/>
        <item x="100"/>
        <item x="65"/>
        <item x="94"/>
        <item x="34"/>
        <item x="89"/>
        <item x="72"/>
        <item x="14"/>
        <item x="99"/>
        <item x="108"/>
        <item x="59"/>
        <item x="80"/>
        <item x="84"/>
        <item x="1"/>
        <item x="71"/>
        <item x="37"/>
        <item x="62"/>
        <item x="74"/>
        <item x="51"/>
        <item x="36"/>
        <item x="70"/>
        <item x="32"/>
        <item x="5"/>
        <item x="76"/>
        <item x="95"/>
        <item x="6"/>
        <item x="67"/>
        <item x="43"/>
        <item x="30"/>
        <item x="96"/>
        <item x="68"/>
        <item x="24"/>
        <item x="102"/>
        <item x="77"/>
        <item x="91"/>
        <item x="0"/>
        <item x="40"/>
        <item x="82"/>
        <item x="69"/>
        <item x="81"/>
        <item x="86"/>
        <item x="109"/>
        <item x="78"/>
        <item x="28"/>
        <item x="105"/>
        <item x="33"/>
        <item x="48"/>
        <item x="41"/>
        <item x="66"/>
        <item x="27"/>
        <item x="90"/>
        <item x="47"/>
        <item x="88"/>
        <item x="112"/>
        <item x="44"/>
        <item x="39"/>
        <item x="61"/>
        <item x="57"/>
        <item x="83"/>
        <item x="73"/>
        <item x="75"/>
        <item x="64"/>
        <item x="49"/>
        <item x="15"/>
        <item x="104"/>
        <item t="default"/>
      </items>
    </pivotField>
    <pivotField compact="0" outline="0" showAll="0"/>
    <pivotField axis="axisRow" compact="0" outline="0" multipleItemSelectionAllowed="1" showAll="0" defaultSubtotal="0">
      <items count="13">
        <item sd="0" x="0"/>
        <item sd="0" x="1"/>
        <item sd="0" x="2"/>
        <item sd="0" x="12"/>
        <item h="1" sd="0" x="3"/>
        <item h="1" sd="0" x="4"/>
        <item h="1" sd="0" x="5"/>
        <item h="1" sd="0" x="8"/>
        <item h="1" sd="0" x="10"/>
        <item h="1" sd="0" x="6"/>
        <item h="1" sd="0" x="7"/>
        <item h="1" sd="0" x="11"/>
        <item h="1" sd="0" x="9"/>
      </items>
    </pivotField>
  </pivotFields>
  <rowFields count="2">
    <field x="12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Valor Original" fld="7" baseField="0" baseItem="0" numFmtId="43"/>
    <dataField name=" Total Baixado" fld="8" baseField="0" baseItem="0" numFmtId="43"/>
    <dataField name=" PIS 0,65%" fld="9" baseField="0" baseItem="0" numFmtId="43"/>
    <dataField name=" COFINS 3%" fld="10" baseField="0" baseItem="0" numFmtId="43"/>
  </dataFields>
  <formats count="8">
    <format dxfId="271">
      <pivotArea type="all" dataOnly="0" outline="0" fieldPosition="0"/>
    </format>
    <format dxfId="270">
      <pivotArea field="12" type="button" dataOnly="0" labelOnly="1" outline="0" axis="axisRow" fieldPosition="0"/>
    </format>
    <format dxfId="269">
      <pivotArea dataOnly="0" labelOnly="1" fieldPosition="0">
        <references count="1">
          <reference field="12" count="0"/>
        </references>
      </pivotArea>
    </format>
    <format dxfId="268">
      <pivotArea dataOnly="0" labelOnly="1" grandRow="1" outline="0" fieldPosition="0"/>
    </format>
    <format dxfId="267">
      <pivotArea type="all" dataOnly="0" outline="0" fieldPosition="0"/>
    </format>
    <format dxfId="266">
      <pivotArea field="12" type="button" dataOnly="0" labelOnly="1" outline="0" axis="axisRow" fieldPosition="0"/>
    </format>
    <format dxfId="265">
      <pivotArea dataOnly="0" labelOnly="1" fieldPosition="0">
        <references count="1">
          <reference field="12" count="0"/>
        </references>
      </pivotArea>
    </format>
    <format dxfId="26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A81A-7583-4762-B9D6-9DD5717519D5}">
  <dimension ref="A1:O129"/>
  <sheetViews>
    <sheetView workbookViewId="0">
      <pane ySplit="2" topLeftCell="A3" activePane="bottomLeft" state="frozen"/>
      <selection pane="bottomLeft" activeCell="K16" sqref="K16"/>
    </sheetView>
  </sheetViews>
  <sheetFormatPr defaultRowHeight="12.75" x14ac:dyDescent="0.2"/>
  <cols>
    <col min="1" max="1" width="12.85546875" style="13" bestFit="1" customWidth="1"/>
    <col min="2" max="3" width="9.140625" style="13"/>
    <col min="4" max="4" width="28" style="2" customWidth="1"/>
    <col min="5" max="5" width="11" style="13" customWidth="1"/>
    <col min="6" max="6" width="12.28515625" style="13" customWidth="1"/>
    <col min="7" max="7" width="12.140625" style="13" customWidth="1"/>
    <col min="8" max="8" width="17.85546875" style="2" bestFit="1" customWidth="1"/>
    <col min="9" max="9" width="16.42578125" style="2" bestFit="1" customWidth="1"/>
    <col min="10" max="11" width="16.42578125" style="2" customWidth="1"/>
    <col min="12" max="12" width="9.140625" style="13"/>
    <col min="13" max="13" width="13.42578125" style="13" customWidth="1"/>
    <col min="14" max="16384" width="9.140625" style="2"/>
  </cols>
  <sheetData>
    <row r="1" spans="1:15" x14ac:dyDescent="0.2">
      <c r="H1" s="16">
        <f>SUBTOTAL(9,H3:H129)</f>
        <v>19793601.599999994</v>
      </c>
      <c r="I1" s="16">
        <f>SUBTOTAL(9,I3:I129)</f>
        <v>279388.27</v>
      </c>
      <c r="J1" s="16"/>
      <c r="K1" s="16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174</v>
      </c>
      <c r="K2" s="1" t="s">
        <v>175</v>
      </c>
      <c r="L2" s="1" t="s">
        <v>9</v>
      </c>
      <c r="M2" s="1" t="s">
        <v>10</v>
      </c>
    </row>
    <row r="3" spans="1:15" x14ac:dyDescent="0.2">
      <c r="A3" s="3" t="s">
        <v>67</v>
      </c>
      <c r="B3" s="3" t="s">
        <v>11</v>
      </c>
      <c r="C3" s="3" t="s">
        <v>68</v>
      </c>
      <c r="D3" s="4" t="s">
        <v>69</v>
      </c>
      <c r="E3" s="3" t="s">
        <v>12</v>
      </c>
      <c r="F3" s="5">
        <v>46147</v>
      </c>
      <c r="G3" s="5">
        <v>46203</v>
      </c>
      <c r="H3" s="6">
        <v>29420.32</v>
      </c>
      <c r="I3" s="7">
        <v>1695.77</v>
      </c>
      <c r="J3" s="7">
        <f>ROUND(I3*0.65%,2)</f>
        <v>11.02</v>
      </c>
      <c r="K3" s="7">
        <f>ROUND(I3*3%,2)</f>
        <v>50.87</v>
      </c>
      <c r="L3" s="3" t="s">
        <v>15</v>
      </c>
      <c r="M3" s="3" t="s">
        <v>16</v>
      </c>
      <c r="N3" s="8"/>
      <c r="O3" s="9"/>
    </row>
    <row r="4" spans="1:15" x14ac:dyDescent="0.2">
      <c r="A4" s="3" t="s">
        <v>70</v>
      </c>
      <c r="B4" s="3" t="s">
        <v>11</v>
      </c>
      <c r="C4" s="3" t="s">
        <v>68</v>
      </c>
      <c r="D4" s="4" t="s">
        <v>69</v>
      </c>
      <c r="E4" s="3" t="s">
        <v>12</v>
      </c>
      <c r="F4" s="5">
        <v>46147</v>
      </c>
      <c r="G4" s="5">
        <v>46203</v>
      </c>
      <c r="H4" s="6">
        <v>6544.49</v>
      </c>
      <c r="I4" s="7">
        <v>501.14</v>
      </c>
      <c r="J4" s="7">
        <f t="shared" ref="J4:J67" si="0">ROUND(I4*0.65%,2)</f>
        <v>3.26</v>
      </c>
      <c r="K4" s="7">
        <f t="shared" ref="K4:K67" si="1">ROUND(I4*3%,2)</f>
        <v>15.03</v>
      </c>
      <c r="L4" s="3" t="s">
        <v>15</v>
      </c>
      <c r="M4" s="3" t="s">
        <v>16</v>
      </c>
      <c r="N4" s="10"/>
      <c r="O4" s="11"/>
    </row>
    <row r="5" spans="1:15" x14ac:dyDescent="0.2">
      <c r="A5" s="3" t="s">
        <v>71</v>
      </c>
      <c r="B5" s="3" t="s">
        <v>11</v>
      </c>
      <c r="C5" s="3" t="s">
        <v>68</v>
      </c>
      <c r="D5" s="4" t="s">
        <v>69</v>
      </c>
      <c r="E5" s="3" t="s">
        <v>12</v>
      </c>
      <c r="F5" s="5">
        <v>46178</v>
      </c>
      <c r="G5" s="5">
        <v>46203</v>
      </c>
      <c r="H5" s="6">
        <v>7044.57</v>
      </c>
      <c r="I5" s="7">
        <v>267.85000000000002</v>
      </c>
      <c r="J5" s="7">
        <f t="shared" si="0"/>
        <v>1.74</v>
      </c>
      <c r="K5" s="7">
        <f t="shared" si="1"/>
        <v>8.0399999999999991</v>
      </c>
      <c r="L5" s="3" t="s">
        <v>15</v>
      </c>
      <c r="M5" s="3" t="s">
        <v>16</v>
      </c>
      <c r="N5" s="8"/>
      <c r="O5" s="9"/>
    </row>
    <row r="6" spans="1:15" x14ac:dyDescent="0.2">
      <c r="A6" s="3" t="s">
        <v>72</v>
      </c>
      <c r="B6" s="3" t="s">
        <v>11</v>
      </c>
      <c r="C6" s="3" t="s">
        <v>68</v>
      </c>
      <c r="D6" s="4" t="s">
        <v>69</v>
      </c>
      <c r="E6" s="3" t="s">
        <v>12</v>
      </c>
      <c r="F6" s="5">
        <v>46178</v>
      </c>
      <c r="G6" s="5">
        <v>46203</v>
      </c>
      <c r="H6" s="6">
        <v>1956.97</v>
      </c>
      <c r="I6" s="7">
        <v>1.66</v>
      </c>
      <c r="J6" s="7">
        <f t="shared" si="0"/>
        <v>0.01</v>
      </c>
      <c r="K6" s="7">
        <f t="shared" si="1"/>
        <v>0.05</v>
      </c>
      <c r="L6" s="3" t="s">
        <v>15</v>
      </c>
      <c r="M6" s="3" t="s">
        <v>16</v>
      </c>
      <c r="N6" s="10"/>
      <c r="O6" s="11"/>
    </row>
    <row r="7" spans="1:15" x14ac:dyDescent="0.2">
      <c r="A7" s="3" t="s">
        <v>73</v>
      </c>
      <c r="B7" s="3" t="s">
        <v>11</v>
      </c>
      <c r="C7" s="3" t="s">
        <v>68</v>
      </c>
      <c r="D7" s="4" t="s">
        <v>69</v>
      </c>
      <c r="E7" s="3" t="s">
        <v>12</v>
      </c>
      <c r="F7" s="5">
        <v>46178</v>
      </c>
      <c r="G7" s="5">
        <v>46203</v>
      </c>
      <c r="H7" s="6">
        <v>2437.75</v>
      </c>
      <c r="I7" s="7">
        <v>222.98</v>
      </c>
      <c r="J7" s="7">
        <f t="shared" si="0"/>
        <v>1.45</v>
      </c>
      <c r="K7" s="7">
        <f t="shared" si="1"/>
        <v>6.69</v>
      </c>
      <c r="L7" s="3" t="s">
        <v>15</v>
      </c>
      <c r="M7" s="3" t="s">
        <v>16</v>
      </c>
      <c r="N7" s="8"/>
      <c r="O7" s="9"/>
    </row>
    <row r="8" spans="1:15" x14ac:dyDescent="0.2">
      <c r="A8" s="3" t="s">
        <v>74</v>
      </c>
      <c r="B8" s="3" t="s">
        <v>11</v>
      </c>
      <c r="C8" s="3" t="s">
        <v>68</v>
      </c>
      <c r="D8" s="4" t="s">
        <v>69</v>
      </c>
      <c r="E8" s="3" t="s">
        <v>12</v>
      </c>
      <c r="F8" s="5">
        <v>46209</v>
      </c>
      <c r="G8" s="5">
        <v>46203</v>
      </c>
      <c r="H8" s="6">
        <v>11873.71</v>
      </c>
      <c r="I8" s="7">
        <v>799.44</v>
      </c>
      <c r="J8" s="7">
        <f t="shared" si="0"/>
        <v>5.2</v>
      </c>
      <c r="K8" s="7">
        <f t="shared" si="1"/>
        <v>23.98</v>
      </c>
      <c r="L8" s="3" t="s">
        <v>15</v>
      </c>
      <c r="M8" s="3" t="s">
        <v>16</v>
      </c>
      <c r="N8" s="10"/>
      <c r="O8" s="11"/>
    </row>
    <row r="9" spans="1:15" x14ac:dyDescent="0.2">
      <c r="A9" s="3" t="s">
        <v>75</v>
      </c>
      <c r="B9" s="3" t="s">
        <v>11</v>
      </c>
      <c r="C9" s="3" t="s">
        <v>68</v>
      </c>
      <c r="D9" s="4" t="s">
        <v>69</v>
      </c>
      <c r="E9" s="3" t="s">
        <v>12</v>
      </c>
      <c r="F9" s="5">
        <v>46209</v>
      </c>
      <c r="G9" s="5">
        <v>46203</v>
      </c>
      <c r="H9" s="6">
        <v>18266.37</v>
      </c>
      <c r="I9" s="7">
        <v>1097.18</v>
      </c>
      <c r="J9" s="7">
        <f t="shared" si="0"/>
        <v>7.13</v>
      </c>
      <c r="K9" s="7">
        <f t="shared" si="1"/>
        <v>32.92</v>
      </c>
      <c r="L9" s="3" t="s">
        <v>15</v>
      </c>
      <c r="M9" s="3" t="s">
        <v>16</v>
      </c>
      <c r="N9" s="8"/>
      <c r="O9" s="9"/>
    </row>
    <row r="10" spans="1:15" x14ac:dyDescent="0.2">
      <c r="A10" s="3" t="s">
        <v>76</v>
      </c>
      <c r="B10" s="3" t="s">
        <v>11</v>
      </c>
      <c r="C10" s="3" t="s">
        <v>68</v>
      </c>
      <c r="D10" s="4" t="s">
        <v>69</v>
      </c>
      <c r="E10" s="3" t="s">
        <v>12</v>
      </c>
      <c r="F10" s="5">
        <v>46209</v>
      </c>
      <c r="G10" s="5">
        <v>46203</v>
      </c>
      <c r="H10" s="6">
        <v>3925.81</v>
      </c>
      <c r="I10" s="7">
        <v>185.44</v>
      </c>
      <c r="J10" s="7">
        <f t="shared" si="0"/>
        <v>1.21</v>
      </c>
      <c r="K10" s="7">
        <f t="shared" si="1"/>
        <v>5.56</v>
      </c>
      <c r="L10" s="3" t="s">
        <v>15</v>
      </c>
      <c r="M10" s="3" t="s">
        <v>16</v>
      </c>
      <c r="N10" s="8"/>
      <c r="O10" s="9"/>
    </row>
    <row r="11" spans="1:15" x14ac:dyDescent="0.2">
      <c r="A11" s="3" t="s">
        <v>35</v>
      </c>
      <c r="B11" s="3" t="s">
        <v>11</v>
      </c>
      <c r="C11" s="3" t="s">
        <v>14</v>
      </c>
      <c r="D11" s="4" t="s">
        <v>168</v>
      </c>
      <c r="E11" s="3" t="s">
        <v>12</v>
      </c>
      <c r="F11" s="5">
        <v>46171</v>
      </c>
      <c r="G11" s="5">
        <v>46184</v>
      </c>
      <c r="H11" s="6">
        <v>1449.58</v>
      </c>
      <c r="I11" s="7">
        <v>6.94</v>
      </c>
      <c r="J11" s="7">
        <f t="shared" si="0"/>
        <v>0.05</v>
      </c>
      <c r="K11" s="7">
        <f t="shared" si="1"/>
        <v>0.21</v>
      </c>
      <c r="L11" s="3" t="s">
        <v>15</v>
      </c>
      <c r="M11" s="3" t="s">
        <v>16</v>
      </c>
      <c r="N11" s="10"/>
      <c r="O11" s="11"/>
    </row>
    <row r="12" spans="1:15" x14ac:dyDescent="0.2">
      <c r="A12" s="3" t="s">
        <v>52</v>
      </c>
      <c r="B12" s="3" t="s">
        <v>11</v>
      </c>
      <c r="C12" s="3" t="s">
        <v>20</v>
      </c>
      <c r="D12" s="4" t="s">
        <v>30</v>
      </c>
      <c r="E12" s="3" t="s">
        <v>12</v>
      </c>
      <c r="F12" s="5">
        <v>46167</v>
      </c>
      <c r="G12" s="5">
        <v>46203</v>
      </c>
      <c r="H12" s="6">
        <v>139773.14000000001</v>
      </c>
      <c r="I12" s="7">
        <v>12.42</v>
      </c>
      <c r="J12" s="7">
        <f t="shared" si="0"/>
        <v>0.08</v>
      </c>
      <c r="K12" s="7">
        <f t="shared" si="1"/>
        <v>0.37</v>
      </c>
      <c r="L12" s="3" t="s">
        <v>15</v>
      </c>
      <c r="M12" s="3" t="s">
        <v>16</v>
      </c>
      <c r="N12" s="8"/>
      <c r="O12" s="9"/>
    </row>
    <row r="13" spans="1:15" x14ac:dyDescent="0.2">
      <c r="A13" s="3" t="s">
        <v>53</v>
      </c>
      <c r="B13" s="3" t="s">
        <v>11</v>
      </c>
      <c r="C13" s="3" t="s">
        <v>20</v>
      </c>
      <c r="D13" s="4" t="s">
        <v>30</v>
      </c>
      <c r="E13" s="3" t="s">
        <v>12</v>
      </c>
      <c r="F13" s="5">
        <v>46167</v>
      </c>
      <c r="G13" s="5">
        <v>46203</v>
      </c>
      <c r="H13" s="6">
        <v>92852.6</v>
      </c>
      <c r="I13" s="7">
        <v>0.04</v>
      </c>
      <c r="J13" s="7">
        <f t="shared" si="0"/>
        <v>0</v>
      </c>
      <c r="K13" s="7">
        <f t="shared" si="1"/>
        <v>0</v>
      </c>
      <c r="L13" s="3" t="s">
        <v>15</v>
      </c>
      <c r="M13" s="3" t="s">
        <v>16</v>
      </c>
      <c r="N13" s="10"/>
      <c r="O13" s="11"/>
    </row>
    <row r="14" spans="1:15" x14ac:dyDescent="0.2">
      <c r="A14" s="3" t="s">
        <v>54</v>
      </c>
      <c r="B14" s="3" t="s">
        <v>11</v>
      </c>
      <c r="C14" s="3" t="s">
        <v>20</v>
      </c>
      <c r="D14" s="4" t="s">
        <v>30</v>
      </c>
      <c r="E14" s="3" t="s">
        <v>12</v>
      </c>
      <c r="F14" s="5">
        <v>46167</v>
      </c>
      <c r="G14" s="5">
        <v>46203</v>
      </c>
      <c r="H14" s="6">
        <v>173397.73</v>
      </c>
      <c r="I14" s="7">
        <v>18.739999999999998</v>
      </c>
      <c r="J14" s="7">
        <f t="shared" si="0"/>
        <v>0.12</v>
      </c>
      <c r="K14" s="7">
        <f t="shared" si="1"/>
        <v>0.56000000000000005</v>
      </c>
      <c r="L14" s="3" t="s">
        <v>15</v>
      </c>
      <c r="M14" s="3" t="s">
        <v>16</v>
      </c>
      <c r="N14" s="8"/>
      <c r="O14" s="9"/>
    </row>
    <row r="15" spans="1:15" x14ac:dyDescent="0.2">
      <c r="A15" s="3" t="s">
        <v>55</v>
      </c>
      <c r="B15" s="3" t="s">
        <v>11</v>
      </c>
      <c r="C15" s="3" t="s">
        <v>20</v>
      </c>
      <c r="D15" s="4" t="s">
        <v>30</v>
      </c>
      <c r="E15" s="3" t="s">
        <v>12</v>
      </c>
      <c r="F15" s="5">
        <v>46167</v>
      </c>
      <c r="G15" s="5">
        <v>46203</v>
      </c>
      <c r="H15" s="6">
        <v>250944.51</v>
      </c>
      <c r="I15" s="7">
        <v>98.59</v>
      </c>
      <c r="J15" s="7">
        <f t="shared" si="0"/>
        <v>0.64</v>
      </c>
      <c r="K15" s="7">
        <f t="shared" si="1"/>
        <v>2.96</v>
      </c>
      <c r="L15" s="3" t="s">
        <v>15</v>
      </c>
      <c r="M15" s="3" t="s">
        <v>16</v>
      </c>
      <c r="N15" s="10"/>
      <c r="O15" s="11"/>
    </row>
    <row r="16" spans="1:15" x14ac:dyDescent="0.2">
      <c r="A16" s="3" t="s">
        <v>78</v>
      </c>
      <c r="B16" s="3" t="s">
        <v>11</v>
      </c>
      <c r="C16" s="3" t="s">
        <v>20</v>
      </c>
      <c r="D16" s="4" t="s">
        <v>30</v>
      </c>
      <c r="E16" s="3" t="s">
        <v>12</v>
      </c>
      <c r="F16" s="5">
        <v>46167</v>
      </c>
      <c r="G16" s="5">
        <v>46203</v>
      </c>
      <c r="H16" s="6">
        <v>17007</v>
      </c>
      <c r="I16" s="7">
        <v>173.12</v>
      </c>
      <c r="J16" s="7">
        <f t="shared" si="0"/>
        <v>1.1299999999999999</v>
      </c>
      <c r="K16" s="7">
        <f t="shared" si="1"/>
        <v>5.19</v>
      </c>
      <c r="L16" s="3" t="s">
        <v>15</v>
      </c>
      <c r="M16" s="3" t="s">
        <v>79</v>
      </c>
      <c r="N16" s="8"/>
      <c r="O16" s="9"/>
    </row>
    <row r="17" spans="1:15" x14ac:dyDescent="0.2">
      <c r="A17" s="3" t="s">
        <v>80</v>
      </c>
      <c r="B17" s="3" t="s">
        <v>11</v>
      </c>
      <c r="C17" s="3" t="s">
        <v>20</v>
      </c>
      <c r="D17" s="4" t="s">
        <v>30</v>
      </c>
      <c r="E17" s="3" t="s">
        <v>12</v>
      </c>
      <c r="F17" s="5">
        <v>46167</v>
      </c>
      <c r="G17" s="5">
        <v>46203</v>
      </c>
      <c r="H17" s="6">
        <v>19913.060000000001</v>
      </c>
      <c r="I17" s="7">
        <v>0.02</v>
      </c>
      <c r="J17" s="7">
        <f t="shared" si="0"/>
        <v>0</v>
      </c>
      <c r="K17" s="7">
        <f t="shared" si="1"/>
        <v>0</v>
      </c>
      <c r="L17" s="3" t="s">
        <v>15</v>
      </c>
      <c r="M17" s="3" t="s">
        <v>81</v>
      </c>
      <c r="N17" s="8"/>
      <c r="O17" s="9"/>
    </row>
    <row r="18" spans="1:15" x14ac:dyDescent="0.2">
      <c r="A18" s="3" t="s">
        <v>100</v>
      </c>
      <c r="B18" s="3" t="s">
        <v>11</v>
      </c>
      <c r="C18" s="3" t="s">
        <v>20</v>
      </c>
      <c r="D18" s="4" t="s">
        <v>30</v>
      </c>
      <c r="E18" s="3" t="s">
        <v>12</v>
      </c>
      <c r="F18" s="5">
        <v>46167</v>
      </c>
      <c r="G18" s="5">
        <v>46203</v>
      </c>
      <c r="H18" s="6">
        <v>49303.44</v>
      </c>
      <c r="I18" s="7">
        <v>381.16</v>
      </c>
      <c r="J18" s="7">
        <f t="shared" si="0"/>
        <v>2.48</v>
      </c>
      <c r="K18" s="7">
        <f t="shared" si="1"/>
        <v>11.43</v>
      </c>
      <c r="L18" s="3" t="s">
        <v>15</v>
      </c>
      <c r="M18" s="3" t="s">
        <v>23</v>
      </c>
      <c r="N18" s="10"/>
      <c r="O18" s="11"/>
    </row>
    <row r="19" spans="1:15" x14ac:dyDescent="0.2">
      <c r="A19" s="3" t="s">
        <v>112</v>
      </c>
      <c r="B19" s="3" t="s">
        <v>11</v>
      </c>
      <c r="C19" s="3" t="s">
        <v>20</v>
      </c>
      <c r="D19" s="4" t="s">
        <v>30</v>
      </c>
      <c r="E19" s="3" t="s">
        <v>12</v>
      </c>
      <c r="F19" s="5">
        <v>46167</v>
      </c>
      <c r="G19" s="5">
        <v>46203</v>
      </c>
      <c r="H19" s="6">
        <v>311158.45</v>
      </c>
      <c r="I19" s="7">
        <v>27997.3</v>
      </c>
      <c r="J19" s="7">
        <f t="shared" si="0"/>
        <v>181.98</v>
      </c>
      <c r="K19" s="7">
        <f t="shared" si="1"/>
        <v>839.92</v>
      </c>
      <c r="L19" s="3" t="s">
        <v>15</v>
      </c>
      <c r="M19" s="3" t="s">
        <v>24</v>
      </c>
      <c r="N19" s="8"/>
      <c r="O19" s="9"/>
    </row>
    <row r="20" spans="1:15" x14ac:dyDescent="0.2">
      <c r="A20" s="3" t="s">
        <v>117</v>
      </c>
      <c r="B20" s="3" t="s">
        <v>11</v>
      </c>
      <c r="C20" s="3" t="s">
        <v>20</v>
      </c>
      <c r="D20" s="4" t="s">
        <v>30</v>
      </c>
      <c r="E20" s="3" t="s">
        <v>12</v>
      </c>
      <c r="F20" s="5">
        <v>46167</v>
      </c>
      <c r="G20" s="5">
        <v>46203</v>
      </c>
      <c r="H20" s="6">
        <v>52401.05</v>
      </c>
      <c r="I20" s="7">
        <v>165.39</v>
      </c>
      <c r="J20" s="7">
        <f t="shared" si="0"/>
        <v>1.08</v>
      </c>
      <c r="K20" s="7">
        <f t="shared" si="1"/>
        <v>4.96</v>
      </c>
      <c r="L20" s="3" t="s">
        <v>15</v>
      </c>
      <c r="M20" s="3" t="s">
        <v>118</v>
      </c>
      <c r="N20" s="10"/>
      <c r="O20" s="11"/>
    </row>
    <row r="21" spans="1:15" x14ac:dyDescent="0.2">
      <c r="A21" s="3" t="s">
        <v>135</v>
      </c>
      <c r="B21" s="3" t="s">
        <v>11</v>
      </c>
      <c r="C21" s="3" t="s">
        <v>20</v>
      </c>
      <c r="D21" s="4" t="s">
        <v>30</v>
      </c>
      <c r="E21" s="3" t="s">
        <v>12</v>
      </c>
      <c r="F21" s="5">
        <v>46167</v>
      </c>
      <c r="G21" s="5">
        <v>46203</v>
      </c>
      <c r="H21" s="6">
        <v>96366.17</v>
      </c>
      <c r="I21" s="7">
        <v>3.11</v>
      </c>
      <c r="J21" s="7">
        <f t="shared" si="0"/>
        <v>0.02</v>
      </c>
      <c r="K21" s="7">
        <f t="shared" si="1"/>
        <v>0.09</v>
      </c>
      <c r="L21" s="3" t="s">
        <v>15</v>
      </c>
      <c r="M21" s="3" t="s">
        <v>27</v>
      </c>
      <c r="N21" s="8"/>
      <c r="O21" s="9"/>
    </row>
    <row r="22" spans="1:15" x14ac:dyDescent="0.2">
      <c r="A22" s="3" t="s">
        <v>136</v>
      </c>
      <c r="B22" s="3" t="s">
        <v>11</v>
      </c>
      <c r="C22" s="3" t="s">
        <v>20</v>
      </c>
      <c r="D22" s="4" t="s">
        <v>30</v>
      </c>
      <c r="E22" s="3" t="s">
        <v>12</v>
      </c>
      <c r="F22" s="5">
        <v>46167</v>
      </c>
      <c r="G22" s="5">
        <v>46203</v>
      </c>
      <c r="H22" s="6">
        <v>5691.81</v>
      </c>
      <c r="I22" s="7">
        <v>129.99</v>
      </c>
      <c r="J22" s="7">
        <f t="shared" si="0"/>
        <v>0.84</v>
      </c>
      <c r="K22" s="7">
        <f t="shared" si="1"/>
        <v>3.9</v>
      </c>
      <c r="L22" s="3" t="s">
        <v>15</v>
      </c>
      <c r="M22" s="3" t="s">
        <v>139</v>
      </c>
      <c r="N22" s="10"/>
      <c r="O22" s="11"/>
    </row>
    <row r="23" spans="1:15" x14ac:dyDescent="0.2">
      <c r="A23" s="3" t="s">
        <v>56</v>
      </c>
      <c r="B23" s="3" t="s">
        <v>11</v>
      </c>
      <c r="C23" s="3" t="s">
        <v>21</v>
      </c>
      <c r="D23" s="4" t="s">
        <v>31</v>
      </c>
      <c r="E23" s="3" t="s">
        <v>12</v>
      </c>
      <c r="F23" s="5">
        <v>46157</v>
      </c>
      <c r="G23" s="5">
        <v>46203</v>
      </c>
      <c r="H23" s="6">
        <v>6841.76</v>
      </c>
      <c r="I23" s="7">
        <v>52.92</v>
      </c>
      <c r="J23" s="7">
        <f t="shared" si="0"/>
        <v>0.34</v>
      </c>
      <c r="K23" s="7">
        <f t="shared" si="1"/>
        <v>1.59</v>
      </c>
      <c r="L23" s="3" t="s">
        <v>15</v>
      </c>
      <c r="M23" s="3" t="s">
        <v>16</v>
      </c>
      <c r="N23" s="8"/>
      <c r="O23" s="9"/>
    </row>
    <row r="24" spans="1:15" x14ac:dyDescent="0.2">
      <c r="A24" s="3" t="s">
        <v>119</v>
      </c>
      <c r="B24" s="3" t="s">
        <v>11</v>
      </c>
      <c r="C24" s="3" t="s">
        <v>21</v>
      </c>
      <c r="D24" s="4" t="s">
        <v>31</v>
      </c>
      <c r="E24" s="3" t="s">
        <v>12</v>
      </c>
      <c r="F24" s="5">
        <v>46157</v>
      </c>
      <c r="G24" s="5">
        <v>46203</v>
      </c>
      <c r="H24" s="6">
        <v>7247.32</v>
      </c>
      <c r="I24" s="7">
        <v>60.9</v>
      </c>
      <c r="J24" s="7">
        <f t="shared" si="0"/>
        <v>0.4</v>
      </c>
      <c r="K24" s="7">
        <f t="shared" si="1"/>
        <v>1.83</v>
      </c>
      <c r="L24" s="3" t="s">
        <v>15</v>
      </c>
      <c r="M24" s="3" t="s">
        <v>25</v>
      </c>
      <c r="N24" s="10"/>
      <c r="O24" s="11"/>
    </row>
    <row r="25" spans="1:15" x14ac:dyDescent="0.2">
      <c r="A25" s="3" t="s">
        <v>164</v>
      </c>
      <c r="B25" s="3" t="s">
        <v>11</v>
      </c>
      <c r="C25" s="3" t="s">
        <v>21</v>
      </c>
      <c r="D25" s="4" t="s">
        <v>31</v>
      </c>
      <c r="E25" s="3" t="s">
        <v>12</v>
      </c>
      <c r="F25" s="5">
        <v>46157</v>
      </c>
      <c r="G25" s="5">
        <v>46203</v>
      </c>
      <c r="H25" s="6">
        <v>34963.589999999997</v>
      </c>
      <c r="I25" s="7">
        <v>110.04</v>
      </c>
      <c r="J25" s="7">
        <f t="shared" si="0"/>
        <v>0.72</v>
      </c>
      <c r="K25" s="7">
        <f t="shared" si="1"/>
        <v>3.3</v>
      </c>
      <c r="L25" s="3" t="s">
        <v>15</v>
      </c>
      <c r="M25" s="3" t="s">
        <v>29</v>
      </c>
      <c r="N25" s="8"/>
      <c r="O25" s="9"/>
    </row>
    <row r="26" spans="1:15" x14ac:dyDescent="0.2">
      <c r="A26" s="3" t="s">
        <v>77</v>
      </c>
      <c r="B26" s="3" t="s">
        <v>11</v>
      </c>
      <c r="C26" s="3" t="s">
        <v>13</v>
      </c>
      <c r="D26" s="4" t="s">
        <v>32</v>
      </c>
      <c r="E26" s="3" t="s">
        <v>12</v>
      </c>
      <c r="F26" s="5">
        <v>46171</v>
      </c>
      <c r="G26" s="5">
        <v>46203</v>
      </c>
      <c r="H26" s="6">
        <v>19666.439999999999</v>
      </c>
      <c r="I26" s="7">
        <v>165.02</v>
      </c>
      <c r="J26" s="7">
        <f t="shared" si="0"/>
        <v>1.07</v>
      </c>
      <c r="K26" s="7">
        <f t="shared" si="1"/>
        <v>4.95</v>
      </c>
      <c r="L26" s="3" t="s">
        <v>15</v>
      </c>
      <c r="M26" s="3" t="s">
        <v>16</v>
      </c>
      <c r="N26" s="10"/>
      <c r="O26" s="11"/>
    </row>
    <row r="27" spans="1:15" x14ac:dyDescent="0.2">
      <c r="A27" s="3" t="s">
        <v>44</v>
      </c>
      <c r="B27" s="3" t="s">
        <v>11</v>
      </c>
      <c r="C27" s="3" t="s">
        <v>17</v>
      </c>
      <c r="D27" s="4" t="s">
        <v>33</v>
      </c>
      <c r="E27" s="3" t="s">
        <v>12</v>
      </c>
      <c r="F27" s="12">
        <v>45217</v>
      </c>
      <c r="G27" s="5">
        <v>46191</v>
      </c>
      <c r="H27" s="6">
        <v>452158.61</v>
      </c>
      <c r="I27" s="7">
        <v>31.16</v>
      </c>
      <c r="J27" s="7">
        <f t="shared" si="0"/>
        <v>0.2</v>
      </c>
      <c r="K27" s="7">
        <f t="shared" si="1"/>
        <v>0.93</v>
      </c>
      <c r="L27" s="3" t="s">
        <v>15</v>
      </c>
      <c r="M27" s="3" t="s">
        <v>16</v>
      </c>
      <c r="N27" s="8"/>
      <c r="O27" s="9"/>
    </row>
    <row r="28" spans="1:15" x14ac:dyDescent="0.2">
      <c r="A28" s="3" t="s">
        <v>45</v>
      </c>
      <c r="B28" s="3" t="s">
        <v>11</v>
      </c>
      <c r="C28" s="3" t="s">
        <v>17</v>
      </c>
      <c r="D28" s="4" t="s">
        <v>33</v>
      </c>
      <c r="E28" s="3" t="s">
        <v>12</v>
      </c>
      <c r="F28" s="12">
        <v>45217</v>
      </c>
      <c r="G28" s="5">
        <v>46191</v>
      </c>
      <c r="H28" s="6">
        <v>466973.58</v>
      </c>
      <c r="I28" s="7">
        <v>1410.03</v>
      </c>
      <c r="J28" s="7">
        <f t="shared" si="0"/>
        <v>9.17</v>
      </c>
      <c r="K28" s="7">
        <f t="shared" si="1"/>
        <v>42.3</v>
      </c>
      <c r="L28" s="3" t="s">
        <v>15</v>
      </c>
      <c r="M28" s="3" t="s">
        <v>16</v>
      </c>
      <c r="N28" s="10"/>
      <c r="O28" s="11"/>
    </row>
    <row r="29" spans="1:15" x14ac:dyDescent="0.2">
      <c r="A29" s="3" t="s">
        <v>46</v>
      </c>
      <c r="B29" s="3" t="s">
        <v>11</v>
      </c>
      <c r="C29" s="3" t="s">
        <v>17</v>
      </c>
      <c r="D29" s="4" t="s">
        <v>33</v>
      </c>
      <c r="E29" s="3" t="s">
        <v>12</v>
      </c>
      <c r="F29" s="12">
        <v>45217</v>
      </c>
      <c r="G29" s="5">
        <v>46191</v>
      </c>
      <c r="H29" s="6">
        <v>398633.16</v>
      </c>
      <c r="I29" s="7">
        <v>28.95</v>
      </c>
      <c r="J29" s="7">
        <f t="shared" si="0"/>
        <v>0.19</v>
      </c>
      <c r="K29" s="7">
        <f t="shared" si="1"/>
        <v>0.87</v>
      </c>
      <c r="L29" s="3" t="s">
        <v>15</v>
      </c>
      <c r="M29" s="3" t="s">
        <v>16</v>
      </c>
      <c r="N29" s="8"/>
      <c r="O29" s="9"/>
    </row>
    <row r="30" spans="1:15" x14ac:dyDescent="0.2">
      <c r="A30" s="3" t="s">
        <v>47</v>
      </c>
      <c r="B30" s="3" t="s">
        <v>11</v>
      </c>
      <c r="C30" s="3" t="s">
        <v>17</v>
      </c>
      <c r="D30" s="4" t="s">
        <v>33</v>
      </c>
      <c r="E30" s="3" t="s">
        <v>12</v>
      </c>
      <c r="F30" s="12">
        <v>45217</v>
      </c>
      <c r="G30" s="5">
        <v>46191</v>
      </c>
      <c r="H30" s="6">
        <v>406621.72</v>
      </c>
      <c r="I30" s="7">
        <v>92.6</v>
      </c>
      <c r="J30" s="7">
        <f t="shared" si="0"/>
        <v>0.6</v>
      </c>
      <c r="K30" s="7">
        <f t="shared" si="1"/>
        <v>2.78</v>
      </c>
      <c r="L30" s="3" t="s">
        <v>15</v>
      </c>
      <c r="M30" s="3" t="s">
        <v>16</v>
      </c>
      <c r="N30" s="10"/>
      <c r="O30" s="11"/>
    </row>
    <row r="31" spans="1:15" x14ac:dyDescent="0.2">
      <c r="A31" s="3" t="s">
        <v>48</v>
      </c>
      <c r="B31" s="3" t="s">
        <v>11</v>
      </c>
      <c r="C31" s="3" t="s">
        <v>17</v>
      </c>
      <c r="D31" s="4" t="s">
        <v>33</v>
      </c>
      <c r="E31" s="3" t="s">
        <v>12</v>
      </c>
      <c r="F31" s="12">
        <v>45217</v>
      </c>
      <c r="G31" s="5">
        <v>46191</v>
      </c>
      <c r="H31" s="6">
        <v>75326.880000000005</v>
      </c>
      <c r="I31" s="7">
        <v>5154</v>
      </c>
      <c r="J31" s="7">
        <f t="shared" si="0"/>
        <v>33.5</v>
      </c>
      <c r="K31" s="7">
        <f t="shared" si="1"/>
        <v>154.62</v>
      </c>
      <c r="L31" s="3" t="s">
        <v>15</v>
      </c>
      <c r="M31" s="3" t="s">
        <v>16</v>
      </c>
      <c r="N31" s="8"/>
      <c r="O31" s="9"/>
    </row>
    <row r="32" spans="1:15" x14ac:dyDescent="0.2">
      <c r="A32" s="3" t="s">
        <v>49</v>
      </c>
      <c r="B32" s="3" t="s">
        <v>11</v>
      </c>
      <c r="C32" s="3" t="s">
        <v>17</v>
      </c>
      <c r="D32" s="4" t="s">
        <v>33</v>
      </c>
      <c r="E32" s="3" t="s">
        <v>12</v>
      </c>
      <c r="F32" s="12">
        <v>45217</v>
      </c>
      <c r="G32" s="5">
        <v>46191</v>
      </c>
      <c r="H32" s="6">
        <v>327852.96999999997</v>
      </c>
      <c r="I32" s="7">
        <v>3205.57</v>
      </c>
      <c r="J32" s="7">
        <f t="shared" si="0"/>
        <v>20.84</v>
      </c>
      <c r="K32" s="7">
        <f t="shared" si="1"/>
        <v>96.17</v>
      </c>
      <c r="L32" s="3" t="s">
        <v>15</v>
      </c>
      <c r="M32" s="3" t="s">
        <v>16</v>
      </c>
      <c r="N32" s="10"/>
      <c r="O32" s="11"/>
    </row>
    <row r="33" spans="1:15" x14ac:dyDescent="0.2">
      <c r="A33" s="3" t="s">
        <v>61</v>
      </c>
      <c r="B33" s="3" t="s">
        <v>11</v>
      </c>
      <c r="C33" s="3" t="s">
        <v>17</v>
      </c>
      <c r="D33" s="4" t="s">
        <v>33</v>
      </c>
      <c r="E33" s="3" t="s">
        <v>12</v>
      </c>
      <c r="F33" s="5">
        <v>46153</v>
      </c>
      <c r="G33" s="5">
        <v>46203</v>
      </c>
      <c r="H33" s="6">
        <v>10309.870000000001</v>
      </c>
      <c r="I33" s="7">
        <v>314.3</v>
      </c>
      <c r="J33" s="7">
        <f t="shared" si="0"/>
        <v>2.04</v>
      </c>
      <c r="K33" s="7">
        <f t="shared" si="1"/>
        <v>9.43</v>
      </c>
      <c r="L33" s="3" t="s">
        <v>15</v>
      </c>
      <c r="M33" s="3" t="s">
        <v>16</v>
      </c>
      <c r="N33" s="8"/>
      <c r="O33" s="9"/>
    </row>
    <row r="34" spans="1:15" x14ac:dyDescent="0.2">
      <c r="A34" s="3" t="s">
        <v>62</v>
      </c>
      <c r="B34" s="3" t="s">
        <v>11</v>
      </c>
      <c r="C34" s="3" t="s">
        <v>17</v>
      </c>
      <c r="D34" s="4" t="s">
        <v>33</v>
      </c>
      <c r="E34" s="3" t="s">
        <v>12</v>
      </c>
      <c r="F34" s="5">
        <v>46153</v>
      </c>
      <c r="G34" s="5">
        <v>46203</v>
      </c>
      <c r="H34" s="6">
        <v>126395.83</v>
      </c>
      <c r="I34" s="7">
        <v>1314.49</v>
      </c>
      <c r="J34" s="7">
        <f t="shared" si="0"/>
        <v>8.5399999999999991</v>
      </c>
      <c r="K34" s="7">
        <f t="shared" si="1"/>
        <v>39.43</v>
      </c>
      <c r="L34" s="3" t="s">
        <v>15</v>
      </c>
      <c r="M34" s="3" t="s">
        <v>16</v>
      </c>
      <c r="N34" s="10"/>
      <c r="O34" s="11"/>
    </row>
    <row r="35" spans="1:15" x14ac:dyDescent="0.2">
      <c r="A35" s="3" t="s">
        <v>63</v>
      </c>
      <c r="B35" s="3" t="s">
        <v>11</v>
      </c>
      <c r="C35" s="3" t="s">
        <v>17</v>
      </c>
      <c r="D35" s="4" t="s">
        <v>33</v>
      </c>
      <c r="E35" s="3" t="s">
        <v>12</v>
      </c>
      <c r="F35" s="5">
        <v>46153</v>
      </c>
      <c r="G35" s="5">
        <v>46203</v>
      </c>
      <c r="H35" s="6">
        <v>51.6</v>
      </c>
      <c r="I35" s="7">
        <v>20.79</v>
      </c>
      <c r="J35" s="7">
        <f t="shared" si="0"/>
        <v>0.14000000000000001</v>
      </c>
      <c r="K35" s="7">
        <f t="shared" si="1"/>
        <v>0.62</v>
      </c>
      <c r="L35" s="3" t="s">
        <v>15</v>
      </c>
      <c r="M35" s="3" t="s">
        <v>16</v>
      </c>
      <c r="N35" s="8"/>
      <c r="O35" s="9"/>
    </row>
    <row r="36" spans="1:15" x14ac:dyDescent="0.2">
      <c r="A36" s="3" t="s">
        <v>66</v>
      </c>
      <c r="B36" s="3" t="s">
        <v>11</v>
      </c>
      <c r="C36" s="3" t="s">
        <v>17</v>
      </c>
      <c r="D36" s="4" t="s">
        <v>33</v>
      </c>
      <c r="E36" s="3" t="s">
        <v>12</v>
      </c>
      <c r="F36" s="5">
        <v>46153</v>
      </c>
      <c r="G36" s="5">
        <v>46203</v>
      </c>
      <c r="H36" s="6">
        <v>218908.98</v>
      </c>
      <c r="I36" s="7">
        <v>798.31</v>
      </c>
      <c r="J36" s="7">
        <f t="shared" si="0"/>
        <v>5.19</v>
      </c>
      <c r="K36" s="7">
        <f t="shared" si="1"/>
        <v>23.95</v>
      </c>
      <c r="L36" s="3" t="s">
        <v>15</v>
      </c>
      <c r="M36" s="3" t="s">
        <v>16</v>
      </c>
      <c r="N36" s="10"/>
      <c r="O36" s="11"/>
    </row>
    <row r="37" spans="1:15" x14ac:dyDescent="0.2">
      <c r="A37" s="3" t="s">
        <v>102</v>
      </c>
      <c r="B37" s="3" t="s">
        <v>11</v>
      </c>
      <c r="C37" s="3" t="s">
        <v>17</v>
      </c>
      <c r="D37" s="4" t="s">
        <v>33</v>
      </c>
      <c r="E37" s="3" t="s">
        <v>12</v>
      </c>
      <c r="F37" s="5">
        <v>46153</v>
      </c>
      <c r="G37" s="5">
        <v>46203</v>
      </c>
      <c r="H37" s="6">
        <v>60807.22</v>
      </c>
      <c r="I37" s="7">
        <v>3622.29</v>
      </c>
      <c r="J37" s="7">
        <f t="shared" si="0"/>
        <v>23.54</v>
      </c>
      <c r="K37" s="7">
        <f t="shared" si="1"/>
        <v>108.67</v>
      </c>
      <c r="L37" s="3" t="s">
        <v>15</v>
      </c>
      <c r="M37" s="3" t="s">
        <v>23</v>
      </c>
      <c r="N37" s="8"/>
      <c r="O37" s="9"/>
    </row>
    <row r="38" spans="1:15" x14ac:dyDescent="0.2">
      <c r="A38" s="3" t="s">
        <v>120</v>
      </c>
      <c r="B38" s="3" t="s">
        <v>11</v>
      </c>
      <c r="C38" s="3" t="s">
        <v>17</v>
      </c>
      <c r="D38" s="4" t="s">
        <v>33</v>
      </c>
      <c r="E38" s="3" t="s">
        <v>12</v>
      </c>
      <c r="F38" s="5">
        <v>46153</v>
      </c>
      <c r="G38" s="5">
        <v>46203</v>
      </c>
      <c r="H38" s="6">
        <v>24505.26</v>
      </c>
      <c r="I38" s="7">
        <v>347.93</v>
      </c>
      <c r="J38" s="7">
        <f t="shared" si="0"/>
        <v>2.2599999999999998</v>
      </c>
      <c r="K38" s="7">
        <f t="shared" si="1"/>
        <v>10.44</v>
      </c>
      <c r="L38" s="3" t="s">
        <v>15</v>
      </c>
      <c r="M38" s="3" t="s">
        <v>25</v>
      </c>
      <c r="N38" s="10"/>
      <c r="O38" s="11"/>
    </row>
    <row r="39" spans="1:15" x14ac:dyDescent="0.2">
      <c r="A39" s="3" t="s">
        <v>122</v>
      </c>
      <c r="B39" s="3" t="s">
        <v>11</v>
      </c>
      <c r="C39" s="3" t="s">
        <v>17</v>
      </c>
      <c r="D39" s="4" t="s">
        <v>33</v>
      </c>
      <c r="E39" s="3" t="s">
        <v>12</v>
      </c>
      <c r="F39" s="5">
        <v>46153</v>
      </c>
      <c r="G39" s="5">
        <v>46203</v>
      </c>
      <c r="H39" s="6">
        <v>4622.5600000000004</v>
      </c>
      <c r="I39" s="7">
        <v>138.87</v>
      </c>
      <c r="J39" s="7">
        <f t="shared" si="0"/>
        <v>0.9</v>
      </c>
      <c r="K39" s="7">
        <f t="shared" si="1"/>
        <v>4.17</v>
      </c>
      <c r="L39" s="3" t="s">
        <v>15</v>
      </c>
      <c r="M39" s="3" t="s">
        <v>26</v>
      </c>
      <c r="N39" s="8"/>
      <c r="O39" s="9"/>
    </row>
    <row r="40" spans="1:15" x14ac:dyDescent="0.2">
      <c r="A40" s="3" t="s">
        <v>137</v>
      </c>
      <c r="B40" s="3" t="s">
        <v>11</v>
      </c>
      <c r="C40" s="3" t="s">
        <v>17</v>
      </c>
      <c r="D40" s="4" t="s">
        <v>33</v>
      </c>
      <c r="E40" s="3" t="s">
        <v>12</v>
      </c>
      <c r="F40" s="5">
        <v>46153</v>
      </c>
      <c r="G40" s="5">
        <v>46203</v>
      </c>
      <c r="H40" s="6">
        <v>138715.57999999999</v>
      </c>
      <c r="I40" s="7">
        <v>758.35</v>
      </c>
      <c r="J40" s="7">
        <f t="shared" si="0"/>
        <v>4.93</v>
      </c>
      <c r="K40" s="7">
        <f t="shared" si="1"/>
        <v>22.75</v>
      </c>
      <c r="L40" s="3" t="s">
        <v>15</v>
      </c>
      <c r="M40" s="3" t="s">
        <v>139</v>
      </c>
      <c r="N40" s="10"/>
      <c r="O40" s="11"/>
    </row>
    <row r="41" spans="1:15" x14ac:dyDescent="0.2">
      <c r="A41" s="3" t="s">
        <v>165</v>
      </c>
      <c r="B41" s="3" t="s">
        <v>11</v>
      </c>
      <c r="C41" s="3" t="s">
        <v>17</v>
      </c>
      <c r="D41" s="4" t="s">
        <v>33</v>
      </c>
      <c r="E41" s="3" t="s">
        <v>12</v>
      </c>
      <c r="F41" s="5">
        <v>46153</v>
      </c>
      <c r="G41" s="5">
        <v>46203</v>
      </c>
      <c r="H41" s="6">
        <v>2702.42</v>
      </c>
      <c r="I41" s="7">
        <v>676.3</v>
      </c>
      <c r="J41" s="7">
        <f t="shared" si="0"/>
        <v>4.4000000000000004</v>
      </c>
      <c r="K41" s="7">
        <f t="shared" si="1"/>
        <v>20.29</v>
      </c>
      <c r="L41" s="3" t="s">
        <v>15</v>
      </c>
      <c r="M41" s="3" t="s">
        <v>29</v>
      </c>
      <c r="N41" s="8"/>
      <c r="O41" s="9"/>
    </row>
    <row r="42" spans="1:15" x14ac:dyDescent="0.2">
      <c r="A42" s="3" t="s">
        <v>64</v>
      </c>
      <c r="B42" s="3" t="s">
        <v>11</v>
      </c>
      <c r="C42" s="3" t="s">
        <v>17</v>
      </c>
      <c r="D42" s="4" t="s">
        <v>33</v>
      </c>
      <c r="E42" s="3" t="s">
        <v>12</v>
      </c>
      <c r="F42" s="5">
        <v>46162</v>
      </c>
      <c r="G42" s="5">
        <v>46203</v>
      </c>
      <c r="H42" s="6">
        <v>5800.82</v>
      </c>
      <c r="I42" s="7">
        <v>44.33</v>
      </c>
      <c r="J42" s="7">
        <f t="shared" si="0"/>
        <v>0.28999999999999998</v>
      </c>
      <c r="K42" s="7">
        <f t="shared" si="1"/>
        <v>1.33</v>
      </c>
      <c r="L42" s="3" t="s">
        <v>15</v>
      </c>
      <c r="M42" s="3" t="s">
        <v>16</v>
      </c>
      <c r="N42" s="10"/>
      <c r="O42" s="11"/>
    </row>
    <row r="43" spans="1:15" x14ac:dyDescent="0.2">
      <c r="A43" s="3" t="s">
        <v>65</v>
      </c>
      <c r="B43" s="3" t="s">
        <v>11</v>
      </c>
      <c r="C43" s="3" t="s">
        <v>17</v>
      </c>
      <c r="D43" s="4" t="s">
        <v>33</v>
      </c>
      <c r="E43" s="3" t="s">
        <v>12</v>
      </c>
      <c r="F43" s="5">
        <v>46162</v>
      </c>
      <c r="G43" s="5">
        <v>46203</v>
      </c>
      <c r="H43" s="6">
        <v>1092373.3700000001</v>
      </c>
      <c r="I43" s="7">
        <v>9686.9500000000007</v>
      </c>
      <c r="J43" s="7">
        <f t="shared" si="0"/>
        <v>62.97</v>
      </c>
      <c r="K43" s="7">
        <f t="shared" si="1"/>
        <v>290.61</v>
      </c>
      <c r="L43" s="3" t="s">
        <v>15</v>
      </c>
      <c r="M43" s="3" t="s">
        <v>16</v>
      </c>
      <c r="N43" s="10"/>
      <c r="O43" s="11"/>
    </row>
    <row r="44" spans="1:15" x14ac:dyDescent="0.2">
      <c r="A44" s="3" t="s">
        <v>103</v>
      </c>
      <c r="B44" s="3" t="s">
        <v>11</v>
      </c>
      <c r="C44" s="3" t="s">
        <v>17</v>
      </c>
      <c r="D44" s="4" t="s">
        <v>33</v>
      </c>
      <c r="E44" s="3" t="s">
        <v>12</v>
      </c>
      <c r="F44" s="5">
        <v>46162</v>
      </c>
      <c r="G44" s="5">
        <v>46203</v>
      </c>
      <c r="H44" s="6">
        <v>90471.71</v>
      </c>
      <c r="I44" s="7">
        <v>1904.97</v>
      </c>
      <c r="J44" s="7">
        <f t="shared" si="0"/>
        <v>12.38</v>
      </c>
      <c r="K44" s="7">
        <f t="shared" si="1"/>
        <v>57.15</v>
      </c>
      <c r="L44" s="3" t="s">
        <v>15</v>
      </c>
      <c r="M44" s="3" t="s">
        <v>23</v>
      </c>
      <c r="N44" s="8"/>
      <c r="O44" s="9"/>
    </row>
    <row r="45" spans="1:15" x14ac:dyDescent="0.2">
      <c r="A45" s="3" t="s">
        <v>104</v>
      </c>
      <c r="B45" s="3" t="s">
        <v>11</v>
      </c>
      <c r="C45" s="3" t="s">
        <v>17</v>
      </c>
      <c r="D45" s="4" t="s">
        <v>33</v>
      </c>
      <c r="E45" s="3" t="s">
        <v>12</v>
      </c>
      <c r="F45" s="5">
        <v>46162</v>
      </c>
      <c r="G45" s="5">
        <v>46203</v>
      </c>
      <c r="H45" s="6">
        <v>309215.28000000003</v>
      </c>
      <c r="I45" s="7">
        <v>4386.6099999999997</v>
      </c>
      <c r="J45" s="7">
        <f t="shared" si="0"/>
        <v>28.51</v>
      </c>
      <c r="K45" s="7">
        <f t="shared" si="1"/>
        <v>131.6</v>
      </c>
      <c r="L45" s="3" t="s">
        <v>15</v>
      </c>
      <c r="M45" s="3" t="s">
        <v>23</v>
      </c>
      <c r="N45" s="10"/>
      <c r="O45" s="11"/>
    </row>
    <row r="46" spans="1:15" x14ac:dyDescent="0.2">
      <c r="A46" s="3" t="s">
        <v>116</v>
      </c>
      <c r="B46" s="3" t="s">
        <v>11</v>
      </c>
      <c r="C46" s="3" t="s">
        <v>17</v>
      </c>
      <c r="D46" s="4" t="s">
        <v>33</v>
      </c>
      <c r="E46" s="3" t="s">
        <v>12</v>
      </c>
      <c r="F46" s="5">
        <v>46162</v>
      </c>
      <c r="G46" s="5">
        <v>46203</v>
      </c>
      <c r="H46" s="6">
        <v>84627.01</v>
      </c>
      <c r="I46" s="7">
        <v>64.290000000000006</v>
      </c>
      <c r="J46" s="7">
        <f t="shared" si="0"/>
        <v>0.42</v>
      </c>
      <c r="K46" s="7">
        <f t="shared" si="1"/>
        <v>1.93</v>
      </c>
      <c r="L46" s="3" t="s">
        <v>15</v>
      </c>
      <c r="M46" s="3" t="s">
        <v>24</v>
      </c>
      <c r="N46" s="8"/>
      <c r="O46" s="9"/>
    </row>
    <row r="47" spans="1:15" x14ac:dyDescent="0.2">
      <c r="A47" s="3" t="s">
        <v>121</v>
      </c>
      <c r="B47" s="3" t="s">
        <v>11</v>
      </c>
      <c r="C47" s="3" t="s">
        <v>17</v>
      </c>
      <c r="D47" s="4" t="s">
        <v>33</v>
      </c>
      <c r="E47" s="3" t="s">
        <v>12</v>
      </c>
      <c r="F47" s="5">
        <v>46162</v>
      </c>
      <c r="G47" s="5">
        <v>46203</v>
      </c>
      <c r="H47" s="6">
        <v>53174.27</v>
      </c>
      <c r="I47" s="7">
        <v>1222.77</v>
      </c>
      <c r="J47" s="7">
        <f t="shared" si="0"/>
        <v>7.95</v>
      </c>
      <c r="K47" s="7">
        <f t="shared" si="1"/>
        <v>36.68</v>
      </c>
      <c r="L47" s="3" t="s">
        <v>15</v>
      </c>
      <c r="M47" s="3" t="s">
        <v>25</v>
      </c>
      <c r="N47" s="10"/>
      <c r="O47" s="11"/>
    </row>
    <row r="48" spans="1:15" x14ac:dyDescent="0.2">
      <c r="A48" s="3" t="s">
        <v>123</v>
      </c>
      <c r="B48" s="3" t="s">
        <v>11</v>
      </c>
      <c r="C48" s="3" t="s">
        <v>17</v>
      </c>
      <c r="D48" s="4" t="s">
        <v>33</v>
      </c>
      <c r="E48" s="3" t="s">
        <v>12</v>
      </c>
      <c r="F48" s="5">
        <v>46162</v>
      </c>
      <c r="G48" s="5">
        <v>46203</v>
      </c>
      <c r="H48" s="6">
        <v>430940.46</v>
      </c>
      <c r="I48" s="7">
        <v>8098.21</v>
      </c>
      <c r="J48" s="7">
        <f t="shared" si="0"/>
        <v>52.64</v>
      </c>
      <c r="K48" s="7">
        <f t="shared" si="1"/>
        <v>242.95</v>
      </c>
      <c r="L48" s="3" t="s">
        <v>15</v>
      </c>
      <c r="M48" s="3" t="s">
        <v>26</v>
      </c>
      <c r="N48" s="8"/>
      <c r="O48" s="9"/>
    </row>
    <row r="49" spans="1:15" x14ac:dyDescent="0.2">
      <c r="A49" s="3" t="s">
        <v>124</v>
      </c>
      <c r="B49" s="3" t="s">
        <v>11</v>
      </c>
      <c r="C49" s="3" t="s">
        <v>17</v>
      </c>
      <c r="D49" s="4" t="s">
        <v>33</v>
      </c>
      <c r="E49" s="3" t="s">
        <v>12</v>
      </c>
      <c r="F49" s="5">
        <v>46162</v>
      </c>
      <c r="G49" s="5">
        <v>46203</v>
      </c>
      <c r="H49" s="6">
        <v>4153.41</v>
      </c>
      <c r="I49" s="7">
        <v>209.15</v>
      </c>
      <c r="J49" s="7">
        <f t="shared" si="0"/>
        <v>1.36</v>
      </c>
      <c r="K49" s="7">
        <f t="shared" si="1"/>
        <v>6.27</v>
      </c>
      <c r="L49" s="3" t="s">
        <v>15</v>
      </c>
      <c r="M49" s="3" t="s">
        <v>26</v>
      </c>
      <c r="N49" s="10"/>
      <c r="O49" s="11"/>
    </row>
    <row r="50" spans="1:15" x14ac:dyDescent="0.2">
      <c r="A50" s="3" t="s">
        <v>138</v>
      </c>
      <c r="B50" s="3" t="s">
        <v>11</v>
      </c>
      <c r="C50" s="3" t="s">
        <v>17</v>
      </c>
      <c r="D50" s="4" t="s">
        <v>33</v>
      </c>
      <c r="E50" s="3" t="s">
        <v>12</v>
      </c>
      <c r="F50" s="5">
        <v>46162</v>
      </c>
      <c r="G50" s="5">
        <v>46203</v>
      </c>
      <c r="H50" s="6">
        <v>202131.20000000001</v>
      </c>
      <c r="I50" s="7">
        <v>0.91</v>
      </c>
      <c r="J50" s="7">
        <f t="shared" si="0"/>
        <v>0.01</v>
      </c>
      <c r="K50" s="7">
        <f t="shared" si="1"/>
        <v>0.03</v>
      </c>
      <c r="L50" s="3" t="s">
        <v>15</v>
      </c>
      <c r="M50" s="3" t="s">
        <v>139</v>
      </c>
      <c r="N50" s="8"/>
      <c r="O50" s="9"/>
    </row>
    <row r="51" spans="1:15" x14ac:dyDescent="0.2">
      <c r="A51" s="3" t="s">
        <v>149</v>
      </c>
      <c r="B51" s="3" t="s">
        <v>11</v>
      </c>
      <c r="C51" s="3" t="s">
        <v>17</v>
      </c>
      <c r="D51" s="4" t="s">
        <v>33</v>
      </c>
      <c r="E51" s="3" t="s">
        <v>12</v>
      </c>
      <c r="F51" s="5">
        <v>46162</v>
      </c>
      <c r="G51" s="5">
        <v>46203</v>
      </c>
      <c r="H51" s="6">
        <v>121686.47</v>
      </c>
      <c r="I51" s="7">
        <v>6227.97</v>
      </c>
      <c r="J51" s="7">
        <f t="shared" si="0"/>
        <v>40.479999999999997</v>
      </c>
      <c r="K51" s="7">
        <f t="shared" si="1"/>
        <v>186.84</v>
      </c>
      <c r="L51" s="3" t="s">
        <v>15</v>
      </c>
      <c r="M51" s="3" t="s">
        <v>28</v>
      </c>
      <c r="N51" s="10"/>
      <c r="O51" s="11"/>
    </row>
    <row r="52" spans="1:15" x14ac:dyDescent="0.2">
      <c r="A52" s="3" t="s">
        <v>166</v>
      </c>
      <c r="B52" s="3" t="s">
        <v>11</v>
      </c>
      <c r="C52" s="3" t="s">
        <v>17</v>
      </c>
      <c r="D52" s="4" t="s">
        <v>33</v>
      </c>
      <c r="E52" s="3" t="s">
        <v>12</v>
      </c>
      <c r="F52" s="5">
        <v>46162</v>
      </c>
      <c r="G52" s="5">
        <v>46203</v>
      </c>
      <c r="H52" s="6">
        <v>291140.46000000002</v>
      </c>
      <c r="I52" s="7">
        <v>4068</v>
      </c>
      <c r="J52" s="7">
        <f t="shared" si="0"/>
        <v>26.44</v>
      </c>
      <c r="K52" s="7">
        <f t="shared" si="1"/>
        <v>122.04</v>
      </c>
      <c r="L52" s="3" t="s">
        <v>15</v>
      </c>
      <c r="M52" s="3" t="s">
        <v>29</v>
      </c>
      <c r="N52" s="8"/>
      <c r="O52" s="9"/>
    </row>
    <row r="53" spans="1:15" x14ac:dyDescent="0.2">
      <c r="A53" s="3" t="s">
        <v>82</v>
      </c>
      <c r="B53" s="3" t="s">
        <v>11</v>
      </c>
      <c r="C53" s="3" t="s">
        <v>18</v>
      </c>
      <c r="D53" s="4" t="s">
        <v>169</v>
      </c>
      <c r="E53" s="3" t="s">
        <v>12</v>
      </c>
      <c r="F53" s="12">
        <v>45313</v>
      </c>
      <c r="G53" s="5">
        <v>46184</v>
      </c>
      <c r="H53" s="6">
        <v>23274.3</v>
      </c>
      <c r="I53" s="7">
        <v>23274.3</v>
      </c>
      <c r="J53" s="7">
        <f t="shared" si="0"/>
        <v>151.28</v>
      </c>
      <c r="K53" s="7">
        <f t="shared" si="1"/>
        <v>698.23</v>
      </c>
      <c r="L53" s="3" t="s">
        <v>15</v>
      </c>
      <c r="M53" s="3" t="s">
        <v>22</v>
      </c>
      <c r="N53" s="10"/>
      <c r="O53" s="11"/>
    </row>
    <row r="54" spans="1:15" x14ac:dyDescent="0.2">
      <c r="A54" s="3" t="s">
        <v>150</v>
      </c>
      <c r="B54" s="3" t="s">
        <v>11</v>
      </c>
      <c r="C54" s="3" t="s">
        <v>18</v>
      </c>
      <c r="D54" s="4" t="s">
        <v>169</v>
      </c>
      <c r="E54" s="3" t="s">
        <v>12</v>
      </c>
      <c r="F54" s="12">
        <v>45313</v>
      </c>
      <c r="G54" s="5">
        <v>46184</v>
      </c>
      <c r="H54" s="6">
        <v>43597.54</v>
      </c>
      <c r="I54" s="7">
        <v>53.31</v>
      </c>
      <c r="J54" s="7">
        <f t="shared" si="0"/>
        <v>0.35</v>
      </c>
      <c r="K54" s="7">
        <f t="shared" si="1"/>
        <v>1.6</v>
      </c>
      <c r="L54" s="3" t="s">
        <v>15</v>
      </c>
      <c r="M54" s="3" t="s">
        <v>29</v>
      </c>
      <c r="N54" s="8"/>
      <c r="O54" s="9"/>
    </row>
    <row r="55" spans="1:15" x14ac:dyDescent="0.2">
      <c r="A55" s="3" t="s">
        <v>83</v>
      </c>
      <c r="B55" s="3" t="s">
        <v>11</v>
      </c>
      <c r="C55" s="3" t="s">
        <v>18</v>
      </c>
      <c r="D55" s="4" t="s">
        <v>169</v>
      </c>
      <c r="E55" s="3" t="s">
        <v>12</v>
      </c>
      <c r="F55" s="12">
        <v>45404</v>
      </c>
      <c r="G55" s="5">
        <v>46184</v>
      </c>
      <c r="H55" s="6">
        <v>553357.79</v>
      </c>
      <c r="I55" s="7">
        <v>725.09</v>
      </c>
      <c r="J55" s="7">
        <f t="shared" si="0"/>
        <v>4.71</v>
      </c>
      <c r="K55" s="7">
        <f t="shared" si="1"/>
        <v>21.75</v>
      </c>
      <c r="L55" s="3" t="s">
        <v>15</v>
      </c>
      <c r="M55" s="3" t="s">
        <v>22</v>
      </c>
      <c r="N55" s="10"/>
      <c r="O55" s="11"/>
    </row>
    <row r="56" spans="1:15" x14ac:dyDescent="0.2">
      <c r="A56" s="3" t="s">
        <v>84</v>
      </c>
      <c r="B56" s="3" t="s">
        <v>11</v>
      </c>
      <c r="C56" s="3" t="s">
        <v>18</v>
      </c>
      <c r="D56" s="4" t="s">
        <v>169</v>
      </c>
      <c r="E56" s="3" t="s">
        <v>12</v>
      </c>
      <c r="F56" s="12">
        <v>45404</v>
      </c>
      <c r="G56" s="5">
        <v>46184</v>
      </c>
      <c r="H56" s="6">
        <v>52730.55</v>
      </c>
      <c r="I56" s="7">
        <v>0.28000000000000003</v>
      </c>
      <c r="J56" s="7">
        <f t="shared" si="0"/>
        <v>0</v>
      </c>
      <c r="K56" s="7">
        <f t="shared" si="1"/>
        <v>0.01</v>
      </c>
      <c r="L56" s="3" t="s">
        <v>15</v>
      </c>
      <c r="M56" s="3" t="s">
        <v>22</v>
      </c>
      <c r="N56" s="8"/>
      <c r="O56" s="9"/>
    </row>
    <row r="57" spans="1:15" x14ac:dyDescent="0.2">
      <c r="A57" s="3" t="s">
        <v>85</v>
      </c>
      <c r="B57" s="3" t="s">
        <v>11</v>
      </c>
      <c r="C57" s="3" t="s">
        <v>18</v>
      </c>
      <c r="D57" s="4" t="s">
        <v>169</v>
      </c>
      <c r="E57" s="3" t="s">
        <v>12</v>
      </c>
      <c r="F57" s="12">
        <v>45433</v>
      </c>
      <c r="G57" s="5">
        <v>46184</v>
      </c>
      <c r="H57" s="6">
        <v>560825.88</v>
      </c>
      <c r="I57" s="7">
        <v>242</v>
      </c>
      <c r="J57" s="7">
        <f t="shared" si="0"/>
        <v>1.57</v>
      </c>
      <c r="K57" s="7">
        <f t="shared" si="1"/>
        <v>7.26</v>
      </c>
      <c r="L57" s="3" t="s">
        <v>15</v>
      </c>
      <c r="M57" s="3" t="s">
        <v>22</v>
      </c>
      <c r="N57" s="10"/>
      <c r="O57" s="11"/>
    </row>
    <row r="58" spans="1:15" x14ac:dyDescent="0.2">
      <c r="A58" s="3" t="s">
        <v>86</v>
      </c>
      <c r="B58" s="3" t="s">
        <v>11</v>
      </c>
      <c r="C58" s="3" t="s">
        <v>18</v>
      </c>
      <c r="D58" s="4" t="s">
        <v>169</v>
      </c>
      <c r="E58" s="3" t="s">
        <v>12</v>
      </c>
      <c r="F58" s="12">
        <v>45433</v>
      </c>
      <c r="G58" s="5">
        <v>46184</v>
      </c>
      <c r="H58" s="6">
        <v>64005.56</v>
      </c>
      <c r="I58" s="7">
        <v>0.31</v>
      </c>
      <c r="J58" s="7">
        <f t="shared" si="0"/>
        <v>0</v>
      </c>
      <c r="K58" s="7">
        <f t="shared" si="1"/>
        <v>0.01</v>
      </c>
      <c r="L58" s="3" t="s">
        <v>15</v>
      </c>
      <c r="M58" s="3" t="s">
        <v>22</v>
      </c>
      <c r="N58" s="10"/>
      <c r="O58" s="11"/>
    </row>
    <row r="59" spans="1:15" x14ac:dyDescent="0.2">
      <c r="A59" s="3" t="s">
        <v>87</v>
      </c>
      <c r="B59" s="3" t="s">
        <v>11</v>
      </c>
      <c r="C59" s="3" t="s">
        <v>18</v>
      </c>
      <c r="D59" s="4" t="s">
        <v>169</v>
      </c>
      <c r="E59" s="3" t="s">
        <v>12</v>
      </c>
      <c r="F59" s="12">
        <v>45464</v>
      </c>
      <c r="G59" s="5">
        <v>46184</v>
      </c>
      <c r="H59" s="6">
        <v>553130.79</v>
      </c>
      <c r="I59" s="7">
        <v>272.76</v>
      </c>
      <c r="J59" s="7">
        <f t="shared" si="0"/>
        <v>1.77</v>
      </c>
      <c r="K59" s="7">
        <f t="shared" si="1"/>
        <v>8.18</v>
      </c>
      <c r="L59" s="3" t="s">
        <v>15</v>
      </c>
      <c r="M59" s="3" t="s">
        <v>22</v>
      </c>
      <c r="N59" s="8"/>
      <c r="O59" s="9"/>
    </row>
    <row r="60" spans="1:15" x14ac:dyDescent="0.2">
      <c r="A60" s="3" t="s">
        <v>140</v>
      </c>
      <c r="B60" s="3" t="s">
        <v>11</v>
      </c>
      <c r="C60" s="3" t="s">
        <v>18</v>
      </c>
      <c r="D60" s="4" t="s">
        <v>169</v>
      </c>
      <c r="E60" s="3" t="s">
        <v>12</v>
      </c>
      <c r="F60" s="12">
        <v>45464</v>
      </c>
      <c r="G60" s="5">
        <v>46184</v>
      </c>
      <c r="H60" s="6">
        <v>68083.62</v>
      </c>
      <c r="I60" s="7">
        <v>280.94</v>
      </c>
      <c r="J60" s="7">
        <f t="shared" si="0"/>
        <v>1.83</v>
      </c>
      <c r="K60" s="7">
        <f t="shared" si="1"/>
        <v>8.43</v>
      </c>
      <c r="L60" s="3" t="s">
        <v>15</v>
      </c>
      <c r="M60" s="3" t="s">
        <v>28</v>
      </c>
      <c r="N60" s="10"/>
      <c r="O60" s="11"/>
    </row>
    <row r="61" spans="1:15" x14ac:dyDescent="0.2">
      <c r="A61" s="3" t="s">
        <v>151</v>
      </c>
      <c r="B61" s="3" t="s">
        <v>11</v>
      </c>
      <c r="C61" s="3" t="s">
        <v>18</v>
      </c>
      <c r="D61" s="4" t="s">
        <v>169</v>
      </c>
      <c r="E61" s="3" t="s">
        <v>12</v>
      </c>
      <c r="F61" s="12">
        <v>45464</v>
      </c>
      <c r="G61" s="5">
        <v>46184</v>
      </c>
      <c r="H61" s="6">
        <v>50291.96</v>
      </c>
      <c r="I61" s="7">
        <v>4.5</v>
      </c>
      <c r="J61" s="7">
        <f t="shared" si="0"/>
        <v>0.03</v>
      </c>
      <c r="K61" s="7">
        <f t="shared" si="1"/>
        <v>0.14000000000000001</v>
      </c>
      <c r="L61" s="3" t="s">
        <v>15</v>
      </c>
      <c r="M61" s="3" t="s">
        <v>29</v>
      </c>
      <c r="N61" s="8"/>
      <c r="O61" s="9"/>
    </row>
    <row r="62" spans="1:15" x14ac:dyDescent="0.2">
      <c r="A62" s="3" t="s">
        <v>152</v>
      </c>
      <c r="B62" s="3" t="s">
        <v>11</v>
      </c>
      <c r="C62" s="3" t="s">
        <v>18</v>
      </c>
      <c r="D62" s="4" t="s">
        <v>169</v>
      </c>
      <c r="E62" s="3" t="s">
        <v>12</v>
      </c>
      <c r="F62" s="12">
        <v>45464</v>
      </c>
      <c r="G62" s="5">
        <v>46184</v>
      </c>
      <c r="H62" s="6">
        <v>163442.45000000001</v>
      </c>
      <c r="I62" s="7">
        <v>11001.76</v>
      </c>
      <c r="J62" s="7">
        <f t="shared" si="0"/>
        <v>71.510000000000005</v>
      </c>
      <c r="K62" s="7">
        <f t="shared" si="1"/>
        <v>330.05</v>
      </c>
      <c r="L62" s="3" t="s">
        <v>15</v>
      </c>
      <c r="M62" s="3" t="s">
        <v>29</v>
      </c>
      <c r="N62" s="10"/>
      <c r="O62" s="11"/>
    </row>
    <row r="63" spans="1:15" x14ac:dyDescent="0.2">
      <c r="A63" s="3" t="s">
        <v>125</v>
      </c>
      <c r="B63" s="3" t="s">
        <v>11</v>
      </c>
      <c r="C63" s="3" t="s">
        <v>18</v>
      </c>
      <c r="D63" s="4" t="s">
        <v>169</v>
      </c>
      <c r="E63" s="3" t="s">
        <v>12</v>
      </c>
      <c r="F63" s="12">
        <v>45495</v>
      </c>
      <c r="G63" s="5">
        <v>46184</v>
      </c>
      <c r="H63" s="6">
        <v>82474.11</v>
      </c>
      <c r="I63" s="7">
        <v>65.33</v>
      </c>
      <c r="J63" s="7">
        <f t="shared" si="0"/>
        <v>0.42</v>
      </c>
      <c r="K63" s="7">
        <f t="shared" si="1"/>
        <v>1.96</v>
      </c>
      <c r="L63" s="3" t="s">
        <v>15</v>
      </c>
      <c r="M63" s="3" t="s">
        <v>27</v>
      </c>
      <c r="N63" s="8"/>
      <c r="O63" s="9"/>
    </row>
    <row r="64" spans="1:15" x14ac:dyDescent="0.2">
      <c r="A64" s="3" t="s">
        <v>126</v>
      </c>
      <c r="B64" s="3" t="s">
        <v>11</v>
      </c>
      <c r="C64" s="3" t="s">
        <v>18</v>
      </c>
      <c r="D64" s="4" t="s">
        <v>169</v>
      </c>
      <c r="E64" s="3" t="s">
        <v>12</v>
      </c>
      <c r="F64" s="12">
        <v>45495</v>
      </c>
      <c r="G64" s="5">
        <v>46184</v>
      </c>
      <c r="H64" s="6">
        <v>66369.119999999995</v>
      </c>
      <c r="I64" s="7">
        <v>0.41</v>
      </c>
      <c r="J64" s="7">
        <f t="shared" si="0"/>
        <v>0</v>
      </c>
      <c r="K64" s="7">
        <f t="shared" si="1"/>
        <v>0.01</v>
      </c>
      <c r="L64" s="3" t="s">
        <v>15</v>
      </c>
      <c r="M64" s="3" t="s">
        <v>27</v>
      </c>
      <c r="N64" s="10"/>
      <c r="O64" s="11"/>
    </row>
    <row r="65" spans="1:15" x14ac:dyDescent="0.2">
      <c r="A65" s="3" t="s">
        <v>141</v>
      </c>
      <c r="B65" s="3" t="s">
        <v>11</v>
      </c>
      <c r="C65" s="3" t="s">
        <v>18</v>
      </c>
      <c r="D65" s="4" t="s">
        <v>169</v>
      </c>
      <c r="E65" s="3" t="s">
        <v>12</v>
      </c>
      <c r="F65" s="12">
        <v>45495</v>
      </c>
      <c r="G65" s="5">
        <v>46184</v>
      </c>
      <c r="H65" s="6">
        <v>35269.839999999997</v>
      </c>
      <c r="I65" s="7">
        <v>453.44</v>
      </c>
      <c r="J65" s="7">
        <f t="shared" si="0"/>
        <v>2.95</v>
      </c>
      <c r="K65" s="7">
        <f t="shared" si="1"/>
        <v>13.6</v>
      </c>
      <c r="L65" s="3" t="s">
        <v>15</v>
      </c>
      <c r="M65" s="3" t="s">
        <v>28</v>
      </c>
      <c r="N65" s="8"/>
      <c r="O65" s="9"/>
    </row>
    <row r="66" spans="1:15" x14ac:dyDescent="0.2">
      <c r="A66" s="3" t="s">
        <v>153</v>
      </c>
      <c r="B66" s="3" t="s">
        <v>11</v>
      </c>
      <c r="C66" s="3" t="s">
        <v>18</v>
      </c>
      <c r="D66" s="4" t="s">
        <v>169</v>
      </c>
      <c r="E66" s="3" t="s">
        <v>12</v>
      </c>
      <c r="F66" s="12">
        <v>45495</v>
      </c>
      <c r="G66" s="5">
        <v>46184</v>
      </c>
      <c r="H66" s="6">
        <v>47027.88</v>
      </c>
      <c r="I66" s="7">
        <v>15.03</v>
      </c>
      <c r="J66" s="7">
        <f t="shared" si="0"/>
        <v>0.1</v>
      </c>
      <c r="K66" s="7">
        <f t="shared" si="1"/>
        <v>0.45</v>
      </c>
      <c r="L66" s="3" t="s">
        <v>15</v>
      </c>
      <c r="M66" s="3" t="s">
        <v>29</v>
      </c>
      <c r="N66" s="10"/>
      <c r="O66" s="11"/>
    </row>
    <row r="67" spans="1:15" x14ac:dyDescent="0.2">
      <c r="A67" s="3" t="s">
        <v>154</v>
      </c>
      <c r="B67" s="3" t="s">
        <v>11</v>
      </c>
      <c r="C67" s="3" t="s">
        <v>18</v>
      </c>
      <c r="D67" s="4" t="s">
        <v>169</v>
      </c>
      <c r="E67" s="3" t="s">
        <v>12</v>
      </c>
      <c r="F67" s="12">
        <v>45495</v>
      </c>
      <c r="G67" s="5">
        <v>46184</v>
      </c>
      <c r="H67" s="6">
        <v>196602.12</v>
      </c>
      <c r="I67" s="7">
        <v>10254.700000000001</v>
      </c>
      <c r="J67" s="7">
        <f t="shared" si="0"/>
        <v>66.66</v>
      </c>
      <c r="K67" s="7">
        <f t="shared" si="1"/>
        <v>307.64</v>
      </c>
      <c r="L67" s="3" t="s">
        <v>15</v>
      </c>
      <c r="M67" s="3" t="s">
        <v>29</v>
      </c>
      <c r="N67" s="8"/>
      <c r="O67" s="9"/>
    </row>
    <row r="68" spans="1:15" x14ac:dyDescent="0.2">
      <c r="A68" s="3" t="s">
        <v>88</v>
      </c>
      <c r="B68" s="3" t="s">
        <v>11</v>
      </c>
      <c r="C68" s="3" t="s">
        <v>18</v>
      </c>
      <c r="D68" s="4" t="s">
        <v>169</v>
      </c>
      <c r="E68" s="3" t="s">
        <v>12</v>
      </c>
      <c r="F68" s="12">
        <v>45525</v>
      </c>
      <c r="G68" s="5">
        <v>46184</v>
      </c>
      <c r="H68" s="6">
        <v>586904.54</v>
      </c>
      <c r="I68" s="7">
        <v>690.82</v>
      </c>
      <c r="J68" s="7">
        <f t="shared" ref="J68:J129" si="2">ROUND(I68*0.65%,2)</f>
        <v>4.49</v>
      </c>
      <c r="K68" s="7">
        <f t="shared" ref="K68:K129" si="3">ROUND(I68*3%,2)</f>
        <v>20.72</v>
      </c>
      <c r="L68" s="3" t="s">
        <v>15</v>
      </c>
      <c r="M68" s="3" t="s">
        <v>22</v>
      </c>
      <c r="N68" s="8"/>
      <c r="O68" s="9"/>
    </row>
    <row r="69" spans="1:15" x14ac:dyDescent="0.2">
      <c r="A69" s="3" t="s">
        <v>127</v>
      </c>
      <c r="B69" s="3" t="s">
        <v>11</v>
      </c>
      <c r="C69" s="3" t="s">
        <v>18</v>
      </c>
      <c r="D69" s="4" t="s">
        <v>169</v>
      </c>
      <c r="E69" s="3" t="s">
        <v>12</v>
      </c>
      <c r="F69" s="12">
        <v>45525</v>
      </c>
      <c r="G69" s="5">
        <v>46184</v>
      </c>
      <c r="H69" s="6">
        <v>72776.67</v>
      </c>
      <c r="I69" s="7">
        <v>15.78</v>
      </c>
      <c r="J69" s="7">
        <f t="shared" si="2"/>
        <v>0.1</v>
      </c>
      <c r="K69" s="7">
        <f t="shared" si="3"/>
        <v>0.47</v>
      </c>
      <c r="L69" s="3" t="s">
        <v>15</v>
      </c>
      <c r="M69" s="3" t="s">
        <v>27</v>
      </c>
      <c r="N69" s="10"/>
      <c r="O69" s="11"/>
    </row>
    <row r="70" spans="1:15" x14ac:dyDescent="0.2">
      <c r="A70" s="3" t="s">
        <v>142</v>
      </c>
      <c r="B70" s="3" t="s">
        <v>11</v>
      </c>
      <c r="C70" s="3" t="s">
        <v>18</v>
      </c>
      <c r="D70" s="4" t="s">
        <v>169</v>
      </c>
      <c r="E70" s="3" t="s">
        <v>12</v>
      </c>
      <c r="F70" s="12">
        <v>45525</v>
      </c>
      <c r="G70" s="5">
        <v>46184</v>
      </c>
      <c r="H70" s="6">
        <v>117029.74</v>
      </c>
      <c r="I70" s="7">
        <v>16514.32</v>
      </c>
      <c r="J70" s="7">
        <f t="shared" si="2"/>
        <v>107.34</v>
      </c>
      <c r="K70" s="7">
        <f t="shared" si="3"/>
        <v>495.43</v>
      </c>
      <c r="L70" s="3" t="s">
        <v>15</v>
      </c>
      <c r="M70" s="3" t="s">
        <v>28</v>
      </c>
      <c r="N70" s="8"/>
      <c r="O70" s="9"/>
    </row>
    <row r="71" spans="1:15" x14ac:dyDescent="0.2">
      <c r="A71" s="3" t="s">
        <v>155</v>
      </c>
      <c r="B71" s="3" t="s">
        <v>11</v>
      </c>
      <c r="C71" s="3" t="s">
        <v>18</v>
      </c>
      <c r="D71" s="4" t="s">
        <v>169</v>
      </c>
      <c r="E71" s="3" t="s">
        <v>12</v>
      </c>
      <c r="F71" s="12">
        <v>45525</v>
      </c>
      <c r="G71" s="5">
        <v>46184</v>
      </c>
      <c r="H71" s="6">
        <v>43145.65</v>
      </c>
      <c r="I71" s="7">
        <v>318.13</v>
      </c>
      <c r="J71" s="7">
        <f t="shared" si="2"/>
        <v>2.0699999999999998</v>
      </c>
      <c r="K71" s="7">
        <f t="shared" si="3"/>
        <v>9.5399999999999991</v>
      </c>
      <c r="L71" s="3" t="s">
        <v>15</v>
      </c>
      <c r="M71" s="3" t="s">
        <v>29</v>
      </c>
      <c r="N71" s="10"/>
      <c r="O71" s="11"/>
    </row>
    <row r="72" spans="1:15" x14ac:dyDescent="0.2">
      <c r="A72" s="3" t="s">
        <v>156</v>
      </c>
      <c r="B72" s="3" t="s">
        <v>11</v>
      </c>
      <c r="C72" s="3" t="s">
        <v>18</v>
      </c>
      <c r="D72" s="4" t="s">
        <v>169</v>
      </c>
      <c r="E72" s="3" t="s">
        <v>12</v>
      </c>
      <c r="F72" s="12">
        <v>45525</v>
      </c>
      <c r="G72" s="5">
        <v>46184</v>
      </c>
      <c r="H72" s="6">
        <v>149686.87</v>
      </c>
      <c r="I72" s="7">
        <v>4792.17</v>
      </c>
      <c r="J72" s="7">
        <f t="shared" si="2"/>
        <v>31.15</v>
      </c>
      <c r="K72" s="7">
        <f t="shared" si="3"/>
        <v>143.77000000000001</v>
      </c>
      <c r="L72" s="3" t="s">
        <v>15</v>
      </c>
      <c r="M72" s="3" t="s">
        <v>29</v>
      </c>
      <c r="N72" s="8"/>
      <c r="O72" s="9"/>
    </row>
    <row r="73" spans="1:15" x14ac:dyDescent="0.2">
      <c r="A73" s="3" t="s">
        <v>36</v>
      </c>
      <c r="B73" s="3" t="s">
        <v>11</v>
      </c>
      <c r="C73" s="3" t="s">
        <v>18</v>
      </c>
      <c r="D73" s="4" t="s">
        <v>169</v>
      </c>
      <c r="E73" s="3" t="s">
        <v>12</v>
      </c>
      <c r="F73" s="12">
        <v>45558</v>
      </c>
      <c r="G73" s="5">
        <v>46184</v>
      </c>
      <c r="H73" s="6">
        <v>132937.21</v>
      </c>
      <c r="I73" s="7">
        <v>1102.83</v>
      </c>
      <c r="J73" s="7">
        <f t="shared" si="2"/>
        <v>7.17</v>
      </c>
      <c r="K73" s="7">
        <f t="shared" si="3"/>
        <v>33.08</v>
      </c>
      <c r="L73" s="3" t="s">
        <v>15</v>
      </c>
      <c r="M73" s="3" t="s">
        <v>16</v>
      </c>
      <c r="N73" s="10"/>
      <c r="O73" s="11"/>
    </row>
    <row r="74" spans="1:15" x14ac:dyDescent="0.2">
      <c r="A74" s="3" t="s">
        <v>89</v>
      </c>
      <c r="B74" s="3" t="s">
        <v>11</v>
      </c>
      <c r="C74" s="3" t="s">
        <v>18</v>
      </c>
      <c r="D74" s="4" t="s">
        <v>169</v>
      </c>
      <c r="E74" s="3" t="s">
        <v>12</v>
      </c>
      <c r="F74" s="12">
        <v>45558</v>
      </c>
      <c r="G74" s="5">
        <v>46184</v>
      </c>
      <c r="H74" s="6">
        <v>605287.54</v>
      </c>
      <c r="I74" s="7">
        <v>1329.12</v>
      </c>
      <c r="J74" s="7">
        <f t="shared" si="2"/>
        <v>8.64</v>
      </c>
      <c r="K74" s="7">
        <f t="shared" si="3"/>
        <v>39.869999999999997</v>
      </c>
      <c r="L74" s="3" t="s">
        <v>15</v>
      </c>
      <c r="M74" s="3" t="s">
        <v>22</v>
      </c>
      <c r="N74" s="8"/>
      <c r="O74" s="9"/>
    </row>
    <row r="75" spans="1:15" x14ac:dyDescent="0.2">
      <c r="A75" s="3" t="s">
        <v>90</v>
      </c>
      <c r="B75" s="3" t="s">
        <v>11</v>
      </c>
      <c r="C75" s="3" t="s">
        <v>18</v>
      </c>
      <c r="D75" s="4" t="s">
        <v>169</v>
      </c>
      <c r="E75" s="3" t="s">
        <v>12</v>
      </c>
      <c r="F75" s="12">
        <v>45558</v>
      </c>
      <c r="G75" s="5">
        <v>46184</v>
      </c>
      <c r="H75" s="6">
        <v>91204.37</v>
      </c>
      <c r="I75" s="7">
        <v>1967.23</v>
      </c>
      <c r="J75" s="7">
        <f t="shared" si="2"/>
        <v>12.79</v>
      </c>
      <c r="K75" s="7">
        <f t="shared" si="3"/>
        <v>59.02</v>
      </c>
      <c r="L75" s="3" t="s">
        <v>15</v>
      </c>
      <c r="M75" s="3" t="s">
        <v>22</v>
      </c>
      <c r="N75" s="8"/>
      <c r="O75" s="9"/>
    </row>
    <row r="76" spans="1:15" x14ac:dyDescent="0.2">
      <c r="A76" s="3" t="s">
        <v>105</v>
      </c>
      <c r="B76" s="3" t="s">
        <v>11</v>
      </c>
      <c r="C76" s="3" t="s">
        <v>18</v>
      </c>
      <c r="D76" s="4" t="s">
        <v>169</v>
      </c>
      <c r="E76" s="3" t="s">
        <v>12</v>
      </c>
      <c r="F76" s="12">
        <v>45558</v>
      </c>
      <c r="G76" s="5">
        <v>46184</v>
      </c>
      <c r="H76" s="6">
        <v>67417.009999999995</v>
      </c>
      <c r="I76" s="7">
        <v>761.65</v>
      </c>
      <c r="J76" s="7">
        <f t="shared" si="2"/>
        <v>4.95</v>
      </c>
      <c r="K76" s="7">
        <f t="shared" si="3"/>
        <v>22.85</v>
      </c>
      <c r="L76" s="3" t="s">
        <v>15</v>
      </c>
      <c r="M76" s="3" t="s">
        <v>24</v>
      </c>
      <c r="N76" s="10"/>
      <c r="O76" s="11"/>
    </row>
    <row r="77" spans="1:15" x14ac:dyDescent="0.2">
      <c r="A77" s="3" t="s">
        <v>106</v>
      </c>
      <c r="B77" s="3" t="s">
        <v>11</v>
      </c>
      <c r="C77" s="3" t="s">
        <v>18</v>
      </c>
      <c r="D77" s="4" t="s">
        <v>169</v>
      </c>
      <c r="E77" s="3" t="s">
        <v>12</v>
      </c>
      <c r="F77" s="12">
        <v>45558</v>
      </c>
      <c r="G77" s="5">
        <v>46184</v>
      </c>
      <c r="H77" s="6">
        <v>23954.99</v>
      </c>
      <c r="I77" s="7">
        <v>652.88</v>
      </c>
      <c r="J77" s="7">
        <f t="shared" si="2"/>
        <v>4.24</v>
      </c>
      <c r="K77" s="7">
        <f t="shared" si="3"/>
        <v>19.59</v>
      </c>
      <c r="L77" s="3" t="s">
        <v>15</v>
      </c>
      <c r="M77" s="3" t="s">
        <v>24</v>
      </c>
      <c r="N77" s="8"/>
      <c r="O77" s="9"/>
    </row>
    <row r="78" spans="1:15" x14ac:dyDescent="0.2">
      <c r="A78" s="3" t="s">
        <v>107</v>
      </c>
      <c r="B78" s="3" t="s">
        <v>11</v>
      </c>
      <c r="C78" s="3" t="s">
        <v>18</v>
      </c>
      <c r="D78" s="4" t="s">
        <v>169</v>
      </c>
      <c r="E78" s="3" t="s">
        <v>12</v>
      </c>
      <c r="F78" s="12">
        <v>45558</v>
      </c>
      <c r="G78" s="5">
        <v>46184</v>
      </c>
      <c r="H78" s="6">
        <v>384049.58</v>
      </c>
      <c r="I78" s="7">
        <v>380.64</v>
      </c>
      <c r="J78" s="7">
        <f t="shared" si="2"/>
        <v>2.4700000000000002</v>
      </c>
      <c r="K78" s="7">
        <f t="shared" si="3"/>
        <v>11.42</v>
      </c>
      <c r="L78" s="3" t="s">
        <v>15</v>
      </c>
      <c r="M78" s="3" t="s">
        <v>24</v>
      </c>
      <c r="N78" s="10"/>
      <c r="O78" s="11"/>
    </row>
    <row r="79" spans="1:15" x14ac:dyDescent="0.2">
      <c r="A79" s="3" t="s">
        <v>128</v>
      </c>
      <c r="B79" s="3" t="s">
        <v>11</v>
      </c>
      <c r="C79" s="3" t="s">
        <v>18</v>
      </c>
      <c r="D79" s="4" t="s">
        <v>169</v>
      </c>
      <c r="E79" s="3" t="s">
        <v>12</v>
      </c>
      <c r="F79" s="12">
        <v>45558</v>
      </c>
      <c r="G79" s="5">
        <v>46184</v>
      </c>
      <c r="H79" s="6">
        <v>97645.38</v>
      </c>
      <c r="I79" s="7">
        <v>13046.38</v>
      </c>
      <c r="J79" s="7">
        <f t="shared" si="2"/>
        <v>84.8</v>
      </c>
      <c r="K79" s="7">
        <f t="shared" si="3"/>
        <v>391.39</v>
      </c>
      <c r="L79" s="3" t="s">
        <v>15</v>
      </c>
      <c r="M79" s="3" t="s">
        <v>27</v>
      </c>
      <c r="N79" s="8"/>
      <c r="O79" s="9"/>
    </row>
    <row r="80" spans="1:15" x14ac:dyDescent="0.2">
      <c r="A80" s="3" t="s">
        <v>129</v>
      </c>
      <c r="B80" s="3" t="s">
        <v>11</v>
      </c>
      <c r="C80" s="3" t="s">
        <v>18</v>
      </c>
      <c r="D80" s="4" t="s">
        <v>169</v>
      </c>
      <c r="E80" s="3" t="s">
        <v>12</v>
      </c>
      <c r="F80" s="12">
        <v>45558</v>
      </c>
      <c r="G80" s="5">
        <v>46184</v>
      </c>
      <c r="H80" s="6">
        <v>69014.009999999995</v>
      </c>
      <c r="I80" s="7">
        <v>716.02</v>
      </c>
      <c r="J80" s="7">
        <f t="shared" si="2"/>
        <v>4.6500000000000004</v>
      </c>
      <c r="K80" s="7">
        <f t="shared" si="3"/>
        <v>21.48</v>
      </c>
      <c r="L80" s="3" t="s">
        <v>15</v>
      </c>
      <c r="M80" s="3" t="s">
        <v>27</v>
      </c>
      <c r="N80" s="8"/>
      <c r="O80" s="9"/>
    </row>
    <row r="81" spans="1:15" x14ac:dyDescent="0.2">
      <c r="A81" s="3" t="s">
        <v>143</v>
      </c>
      <c r="B81" s="3" t="s">
        <v>11</v>
      </c>
      <c r="C81" s="3" t="s">
        <v>18</v>
      </c>
      <c r="D81" s="4" t="s">
        <v>169</v>
      </c>
      <c r="E81" s="3" t="s">
        <v>12</v>
      </c>
      <c r="F81" s="12">
        <v>45558</v>
      </c>
      <c r="G81" s="5">
        <v>46184</v>
      </c>
      <c r="H81" s="6">
        <v>118451.87</v>
      </c>
      <c r="I81" s="7">
        <v>14503.95</v>
      </c>
      <c r="J81" s="7">
        <f t="shared" si="2"/>
        <v>94.28</v>
      </c>
      <c r="K81" s="7">
        <f t="shared" si="3"/>
        <v>435.12</v>
      </c>
      <c r="L81" s="3" t="s">
        <v>15</v>
      </c>
      <c r="M81" s="3" t="s">
        <v>28</v>
      </c>
      <c r="N81" s="8"/>
      <c r="O81" s="9"/>
    </row>
    <row r="82" spans="1:15" x14ac:dyDescent="0.2">
      <c r="A82" s="3" t="s">
        <v>157</v>
      </c>
      <c r="B82" s="3" t="s">
        <v>11</v>
      </c>
      <c r="C82" s="3" t="s">
        <v>18</v>
      </c>
      <c r="D82" s="4" t="s">
        <v>169</v>
      </c>
      <c r="E82" s="3" t="s">
        <v>12</v>
      </c>
      <c r="F82" s="12">
        <v>45558</v>
      </c>
      <c r="G82" s="5">
        <v>46184</v>
      </c>
      <c r="H82" s="6">
        <v>45584.39</v>
      </c>
      <c r="I82" s="7">
        <v>60.92</v>
      </c>
      <c r="J82" s="7">
        <f t="shared" si="2"/>
        <v>0.4</v>
      </c>
      <c r="K82" s="7">
        <f t="shared" si="3"/>
        <v>1.83</v>
      </c>
      <c r="L82" s="3" t="s">
        <v>15</v>
      </c>
      <c r="M82" s="3" t="s">
        <v>29</v>
      </c>
      <c r="N82" s="10"/>
      <c r="O82" s="11"/>
    </row>
    <row r="83" spans="1:15" x14ac:dyDescent="0.2">
      <c r="A83" s="3" t="s">
        <v>158</v>
      </c>
      <c r="B83" s="3" t="s">
        <v>11</v>
      </c>
      <c r="C83" s="3" t="s">
        <v>18</v>
      </c>
      <c r="D83" s="4" t="s">
        <v>169</v>
      </c>
      <c r="E83" s="3" t="s">
        <v>12</v>
      </c>
      <c r="F83" s="12">
        <v>45558</v>
      </c>
      <c r="G83" s="5">
        <v>46184</v>
      </c>
      <c r="H83" s="6">
        <v>156762.4</v>
      </c>
      <c r="I83" s="7">
        <v>838.19</v>
      </c>
      <c r="J83" s="7">
        <f t="shared" si="2"/>
        <v>5.45</v>
      </c>
      <c r="K83" s="7">
        <f t="shared" si="3"/>
        <v>25.15</v>
      </c>
      <c r="L83" s="3" t="s">
        <v>15</v>
      </c>
      <c r="M83" s="3" t="s">
        <v>29</v>
      </c>
      <c r="N83" s="8"/>
      <c r="O83" s="9"/>
    </row>
    <row r="84" spans="1:15" x14ac:dyDescent="0.2">
      <c r="A84" s="3" t="s">
        <v>89</v>
      </c>
      <c r="B84" s="3" t="s">
        <v>11</v>
      </c>
      <c r="C84" s="3" t="s">
        <v>18</v>
      </c>
      <c r="D84" s="4" t="s">
        <v>169</v>
      </c>
      <c r="E84" s="3" t="s">
        <v>12</v>
      </c>
      <c r="F84" s="12">
        <v>45558</v>
      </c>
      <c r="G84" s="5">
        <v>46184</v>
      </c>
      <c r="H84" s="6">
        <v>185493.94</v>
      </c>
      <c r="I84" s="7">
        <v>1642.99</v>
      </c>
      <c r="J84" s="7">
        <f t="shared" si="2"/>
        <v>10.68</v>
      </c>
      <c r="K84" s="7">
        <f t="shared" si="3"/>
        <v>49.29</v>
      </c>
      <c r="L84" s="3" t="s">
        <v>15</v>
      </c>
      <c r="M84" s="3" t="s">
        <v>29</v>
      </c>
      <c r="N84" s="10"/>
      <c r="O84" s="11"/>
    </row>
    <row r="85" spans="1:15" x14ac:dyDescent="0.2">
      <c r="A85" s="3" t="s">
        <v>108</v>
      </c>
      <c r="B85" s="3" t="s">
        <v>11</v>
      </c>
      <c r="C85" s="3" t="s">
        <v>18</v>
      </c>
      <c r="D85" s="4" t="s">
        <v>169</v>
      </c>
      <c r="E85" s="3" t="s">
        <v>12</v>
      </c>
      <c r="F85" s="12">
        <v>45586</v>
      </c>
      <c r="G85" s="5">
        <v>46184</v>
      </c>
      <c r="H85" s="6">
        <v>64119.49</v>
      </c>
      <c r="I85" s="7">
        <v>0.03</v>
      </c>
      <c r="J85" s="7">
        <f t="shared" si="2"/>
        <v>0</v>
      </c>
      <c r="K85" s="7">
        <f t="shared" si="3"/>
        <v>0</v>
      </c>
      <c r="L85" s="3" t="s">
        <v>15</v>
      </c>
      <c r="M85" s="3" t="s">
        <v>24</v>
      </c>
      <c r="N85" s="8"/>
      <c r="O85" s="9"/>
    </row>
    <row r="86" spans="1:15" x14ac:dyDescent="0.2">
      <c r="A86" s="3" t="s">
        <v>130</v>
      </c>
      <c r="B86" s="3" t="s">
        <v>11</v>
      </c>
      <c r="C86" s="3" t="s">
        <v>18</v>
      </c>
      <c r="D86" s="4" t="s">
        <v>169</v>
      </c>
      <c r="E86" s="3" t="s">
        <v>12</v>
      </c>
      <c r="F86" s="12">
        <v>45586</v>
      </c>
      <c r="G86" s="5">
        <v>46184</v>
      </c>
      <c r="H86" s="6">
        <v>110011.04</v>
      </c>
      <c r="I86" s="7">
        <v>2444.11</v>
      </c>
      <c r="J86" s="7">
        <f t="shared" si="2"/>
        <v>15.89</v>
      </c>
      <c r="K86" s="7">
        <f t="shared" si="3"/>
        <v>73.319999999999993</v>
      </c>
      <c r="L86" s="3" t="s">
        <v>15</v>
      </c>
      <c r="M86" s="3" t="s">
        <v>27</v>
      </c>
      <c r="N86" s="10"/>
      <c r="O86" s="11"/>
    </row>
    <row r="87" spans="1:15" x14ac:dyDescent="0.2">
      <c r="A87" s="3" t="s">
        <v>131</v>
      </c>
      <c r="B87" s="3" t="s">
        <v>11</v>
      </c>
      <c r="C87" s="3" t="s">
        <v>18</v>
      </c>
      <c r="D87" s="4" t="s">
        <v>169</v>
      </c>
      <c r="E87" s="3" t="s">
        <v>12</v>
      </c>
      <c r="F87" s="12">
        <v>45586</v>
      </c>
      <c r="G87" s="5">
        <v>46184</v>
      </c>
      <c r="H87" s="6">
        <v>74000.240000000005</v>
      </c>
      <c r="I87" s="7">
        <v>194.13</v>
      </c>
      <c r="J87" s="7">
        <f t="shared" si="2"/>
        <v>1.26</v>
      </c>
      <c r="K87" s="7">
        <f t="shared" si="3"/>
        <v>5.82</v>
      </c>
      <c r="L87" s="3" t="s">
        <v>15</v>
      </c>
      <c r="M87" s="3" t="s">
        <v>27</v>
      </c>
      <c r="N87" s="8"/>
      <c r="O87" s="9"/>
    </row>
    <row r="88" spans="1:15" x14ac:dyDescent="0.2">
      <c r="A88" s="3" t="s">
        <v>136</v>
      </c>
      <c r="B88" s="3" t="s">
        <v>11</v>
      </c>
      <c r="C88" s="3" t="s">
        <v>18</v>
      </c>
      <c r="D88" s="4" t="s">
        <v>169</v>
      </c>
      <c r="E88" s="3" t="s">
        <v>12</v>
      </c>
      <c r="F88" s="12">
        <v>45586</v>
      </c>
      <c r="G88" s="5">
        <v>46184</v>
      </c>
      <c r="H88" s="6">
        <v>7874.45</v>
      </c>
      <c r="I88" s="7">
        <v>489.48</v>
      </c>
      <c r="J88" s="7">
        <f t="shared" si="2"/>
        <v>3.18</v>
      </c>
      <c r="K88" s="7">
        <f t="shared" si="3"/>
        <v>14.68</v>
      </c>
      <c r="L88" s="3" t="s">
        <v>15</v>
      </c>
      <c r="M88" s="3" t="s">
        <v>28</v>
      </c>
      <c r="N88" s="10"/>
      <c r="O88" s="11"/>
    </row>
    <row r="89" spans="1:15" x14ac:dyDescent="0.2">
      <c r="A89" s="3" t="s">
        <v>144</v>
      </c>
      <c r="B89" s="3" t="s">
        <v>11</v>
      </c>
      <c r="C89" s="3" t="s">
        <v>18</v>
      </c>
      <c r="D89" s="4" t="s">
        <v>169</v>
      </c>
      <c r="E89" s="3" t="s">
        <v>12</v>
      </c>
      <c r="F89" s="12">
        <v>45586</v>
      </c>
      <c r="G89" s="5">
        <v>46184</v>
      </c>
      <c r="H89" s="6">
        <v>115449.36</v>
      </c>
      <c r="I89" s="7">
        <v>2029.11</v>
      </c>
      <c r="J89" s="7">
        <f t="shared" si="2"/>
        <v>13.19</v>
      </c>
      <c r="K89" s="7">
        <f t="shared" si="3"/>
        <v>60.87</v>
      </c>
      <c r="L89" s="3" t="s">
        <v>15</v>
      </c>
      <c r="M89" s="3" t="s">
        <v>28</v>
      </c>
      <c r="N89" s="8"/>
      <c r="O89" s="9"/>
    </row>
    <row r="90" spans="1:15" x14ac:dyDescent="0.2">
      <c r="A90" s="3" t="s">
        <v>159</v>
      </c>
      <c r="B90" s="3" t="s">
        <v>11</v>
      </c>
      <c r="C90" s="3" t="s">
        <v>18</v>
      </c>
      <c r="D90" s="4" t="s">
        <v>169</v>
      </c>
      <c r="E90" s="3" t="s">
        <v>12</v>
      </c>
      <c r="F90" s="12">
        <v>45586</v>
      </c>
      <c r="G90" s="5">
        <v>46184</v>
      </c>
      <c r="H90" s="6">
        <v>168235.06</v>
      </c>
      <c r="I90" s="7">
        <v>1948.17</v>
      </c>
      <c r="J90" s="7">
        <f t="shared" si="2"/>
        <v>12.66</v>
      </c>
      <c r="K90" s="7">
        <f t="shared" si="3"/>
        <v>58.45</v>
      </c>
      <c r="L90" s="3" t="s">
        <v>15</v>
      </c>
      <c r="M90" s="3" t="s">
        <v>29</v>
      </c>
      <c r="N90" s="10"/>
      <c r="O90" s="11"/>
    </row>
    <row r="91" spans="1:15" x14ac:dyDescent="0.2">
      <c r="A91" s="3" t="s">
        <v>37</v>
      </c>
      <c r="B91" s="3" t="s">
        <v>11</v>
      </c>
      <c r="C91" s="3" t="s">
        <v>18</v>
      </c>
      <c r="D91" s="4" t="s">
        <v>169</v>
      </c>
      <c r="E91" s="3" t="s">
        <v>12</v>
      </c>
      <c r="F91" s="12">
        <v>45617</v>
      </c>
      <c r="G91" s="5">
        <v>46184</v>
      </c>
      <c r="H91" s="6">
        <v>251457.38</v>
      </c>
      <c r="I91" s="7">
        <v>11459.38</v>
      </c>
      <c r="J91" s="7">
        <f t="shared" si="2"/>
        <v>74.489999999999995</v>
      </c>
      <c r="K91" s="7">
        <f t="shared" si="3"/>
        <v>343.78</v>
      </c>
      <c r="L91" s="3" t="s">
        <v>15</v>
      </c>
      <c r="M91" s="3" t="s">
        <v>16</v>
      </c>
      <c r="N91" s="8"/>
      <c r="O91" s="9"/>
    </row>
    <row r="92" spans="1:15" x14ac:dyDescent="0.2">
      <c r="A92" s="3" t="s">
        <v>38</v>
      </c>
      <c r="B92" s="3" t="s">
        <v>11</v>
      </c>
      <c r="C92" s="3" t="s">
        <v>18</v>
      </c>
      <c r="D92" s="4" t="s">
        <v>169</v>
      </c>
      <c r="E92" s="3" t="s">
        <v>12</v>
      </c>
      <c r="F92" s="12">
        <v>45617</v>
      </c>
      <c r="G92" s="5">
        <v>46184</v>
      </c>
      <c r="H92" s="6">
        <v>409537.85</v>
      </c>
      <c r="I92" s="7">
        <v>500.31</v>
      </c>
      <c r="J92" s="7">
        <f t="shared" si="2"/>
        <v>3.25</v>
      </c>
      <c r="K92" s="7">
        <f t="shared" si="3"/>
        <v>15.01</v>
      </c>
      <c r="L92" s="3" t="s">
        <v>15</v>
      </c>
      <c r="M92" s="3" t="s">
        <v>16</v>
      </c>
      <c r="N92" s="10"/>
      <c r="O92" s="11"/>
    </row>
    <row r="93" spans="1:15" x14ac:dyDescent="0.2">
      <c r="A93" s="3" t="s">
        <v>91</v>
      </c>
      <c r="B93" s="3" t="s">
        <v>11</v>
      </c>
      <c r="C93" s="3" t="s">
        <v>18</v>
      </c>
      <c r="D93" s="4" t="s">
        <v>169</v>
      </c>
      <c r="E93" s="3" t="s">
        <v>12</v>
      </c>
      <c r="F93" s="12">
        <v>45617</v>
      </c>
      <c r="G93" s="5">
        <v>46184</v>
      </c>
      <c r="H93" s="6">
        <v>6838.15</v>
      </c>
      <c r="I93" s="7">
        <v>125.11</v>
      </c>
      <c r="J93" s="7">
        <f t="shared" si="2"/>
        <v>0.81</v>
      </c>
      <c r="K93" s="7">
        <f t="shared" si="3"/>
        <v>3.75</v>
      </c>
      <c r="L93" s="3" t="s">
        <v>15</v>
      </c>
      <c r="M93" s="3" t="s">
        <v>22</v>
      </c>
      <c r="N93" s="8"/>
      <c r="O93" s="9"/>
    </row>
    <row r="94" spans="1:15" x14ac:dyDescent="0.2">
      <c r="A94" s="3" t="s">
        <v>92</v>
      </c>
      <c r="B94" s="3" t="s">
        <v>11</v>
      </c>
      <c r="C94" s="3" t="s">
        <v>18</v>
      </c>
      <c r="D94" s="4" t="s">
        <v>169</v>
      </c>
      <c r="E94" s="3" t="s">
        <v>12</v>
      </c>
      <c r="F94" s="12">
        <v>45617</v>
      </c>
      <c r="G94" s="5">
        <v>46184</v>
      </c>
      <c r="H94" s="6">
        <v>594828.19999999995</v>
      </c>
      <c r="I94" s="7">
        <v>2148.06</v>
      </c>
      <c r="J94" s="7">
        <f t="shared" si="2"/>
        <v>13.96</v>
      </c>
      <c r="K94" s="7">
        <f t="shared" si="3"/>
        <v>64.44</v>
      </c>
      <c r="L94" s="3" t="s">
        <v>15</v>
      </c>
      <c r="M94" s="3" t="s">
        <v>22</v>
      </c>
      <c r="N94" s="10"/>
      <c r="O94" s="11"/>
    </row>
    <row r="95" spans="1:15" x14ac:dyDescent="0.2">
      <c r="A95" s="3" t="s">
        <v>99</v>
      </c>
      <c r="B95" s="3" t="s">
        <v>11</v>
      </c>
      <c r="C95" s="3" t="s">
        <v>18</v>
      </c>
      <c r="D95" s="4" t="s">
        <v>169</v>
      </c>
      <c r="E95" s="3" t="s">
        <v>12</v>
      </c>
      <c r="F95" s="12">
        <v>45617</v>
      </c>
      <c r="G95" s="5">
        <v>46184</v>
      </c>
      <c r="H95" s="6">
        <v>120070.61</v>
      </c>
      <c r="I95" s="7">
        <v>57.81</v>
      </c>
      <c r="J95" s="7">
        <f t="shared" si="2"/>
        <v>0.38</v>
      </c>
      <c r="K95" s="7">
        <f t="shared" si="3"/>
        <v>1.73</v>
      </c>
      <c r="L95" s="3" t="s">
        <v>15</v>
      </c>
      <c r="M95" s="3" t="s">
        <v>23</v>
      </c>
      <c r="N95" s="8"/>
      <c r="O95" s="9"/>
    </row>
    <row r="96" spans="1:15" x14ac:dyDescent="0.2">
      <c r="A96" s="3" t="s">
        <v>132</v>
      </c>
      <c r="B96" s="3" t="s">
        <v>11</v>
      </c>
      <c r="C96" s="3" t="s">
        <v>18</v>
      </c>
      <c r="D96" s="4" t="s">
        <v>169</v>
      </c>
      <c r="E96" s="3" t="s">
        <v>12</v>
      </c>
      <c r="F96" s="12">
        <v>45617</v>
      </c>
      <c r="G96" s="5">
        <v>46184</v>
      </c>
      <c r="H96" s="6">
        <v>116524.63</v>
      </c>
      <c r="I96" s="7">
        <v>6728.57</v>
      </c>
      <c r="J96" s="7">
        <f t="shared" si="2"/>
        <v>43.74</v>
      </c>
      <c r="K96" s="7">
        <f t="shared" si="3"/>
        <v>201.86</v>
      </c>
      <c r="L96" s="3" t="s">
        <v>15</v>
      </c>
      <c r="M96" s="3" t="s">
        <v>27</v>
      </c>
      <c r="N96" s="10"/>
      <c r="O96" s="11"/>
    </row>
    <row r="97" spans="1:15" x14ac:dyDescent="0.2">
      <c r="A97" s="3" t="s">
        <v>133</v>
      </c>
      <c r="B97" s="3" t="s">
        <v>11</v>
      </c>
      <c r="C97" s="3" t="s">
        <v>18</v>
      </c>
      <c r="D97" s="4" t="s">
        <v>169</v>
      </c>
      <c r="E97" s="3" t="s">
        <v>12</v>
      </c>
      <c r="F97" s="12">
        <v>45617</v>
      </c>
      <c r="G97" s="5">
        <v>46184</v>
      </c>
      <c r="H97" s="6">
        <v>78822.75</v>
      </c>
      <c r="I97" s="7">
        <v>357.73</v>
      </c>
      <c r="J97" s="7">
        <f t="shared" si="2"/>
        <v>2.33</v>
      </c>
      <c r="K97" s="7">
        <f t="shared" si="3"/>
        <v>10.73</v>
      </c>
      <c r="L97" s="3" t="s">
        <v>15</v>
      </c>
      <c r="M97" s="3" t="s">
        <v>27</v>
      </c>
      <c r="N97" s="8"/>
      <c r="O97" s="9"/>
    </row>
    <row r="98" spans="1:15" x14ac:dyDescent="0.2">
      <c r="A98" s="3" t="s">
        <v>145</v>
      </c>
      <c r="B98" s="3" t="s">
        <v>11</v>
      </c>
      <c r="C98" s="3" t="s">
        <v>18</v>
      </c>
      <c r="D98" s="4" t="s">
        <v>169</v>
      </c>
      <c r="E98" s="3" t="s">
        <v>12</v>
      </c>
      <c r="F98" s="12">
        <v>45617</v>
      </c>
      <c r="G98" s="5">
        <v>46184</v>
      </c>
      <c r="H98" s="6">
        <v>116024.86</v>
      </c>
      <c r="I98" s="7">
        <v>5550.94</v>
      </c>
      <c r="J98" s="7">
        <f t="shared" si="2"/>
        <v>36.08</v>
      </c>
      <c r="K98" s="7">
        <f t="shared" si="3"/>
        <v>166.53</v>
      </c>
      <c r="L98" s="3" t="s">
        <v>15</v>
      </c>
      <c r="M98" s="3" t="s">
        <v>28</v>
      </c>
      <c r="N98" s="8"/>
      <c r="O98" s="9"/>
    </row>
    <row r="99" spans="1:15" x14ac:dyDescent="0.2">
      <c r="A99" s="3" t="s">
        <v>160</v>
      </c>
      <c r="B99" s="3" t="s">
        <v>11</v>
      </c>
      <c r="C99" s="3" t="s">
        <v>18</v>
      </c>
      <c r="D99" s="4" t="s">
        <v>169</v>
      </c>
      <c r="E99" s="3" t="s">
        <v>12</v>
      </c>
      <c r="F99" s="12">
        <v>45617</v>
      </c>
      <c r="G99" s="5">
        <v>46184</v>
      </c>
      <c r="H99" s="6">
        <v>197491.68</v>
      </c>
      <c r="I99" s="7">
        <v>15.11</v>
      </c>
      <c r="J99" s="7">
        <f t="shared" si="2"/>
        <v>0.1</v>
      </c>
      <c r="K99" s="7">
        <f t="shared" si="3"/>
        <v>0.45</v>
      </c>
      <c r="L99" s="3" t="s">
        <v>15</v>
      </c>
      <c r="M99" s="3" t="s">
        <v>29</v>
      </c>
      <c r="N99" s="10"/>
      <c r="O99" s="11"/>
    </row>
    <row r="100" spans="1:15" x14ac:dyDescent="0.2">
      <c r="A100" s="3" t="s">
        <v>39</v>
      </c>
      <c r="B100" s="3" t="s">
        <v>11</v>
      </c>
      <c r="C100" s="3" t="s">
        <v>18</v>
      </c>
      <c r="D100" s="4" t="s">
        <v>169</v>
      </c>
      <c r="E100" s="3" t="s">
        <v>12</v>
      </c>
      <c r="F100" s="12">
        <v>45646</v>
      </c>
      <c r="G100" s="5">
        <v>46184</v>
      </c>
      <c r="H100" s="6">
        <v>248427.26</v>
      </c>
      <c r="I100" s="7">
        <v>1647.27</v>
      </c>
      <c r="J100" s="7">
        <f t="shared" si="2"/>
        <v>10.71</v>
      </c>
      <c r="K100" s="7">
        <f t="shared" si="3"/>
        <v>49.42</v>
      </c>
      <c r="L100" s="3" t="s">
        <v>15</v>
      </c>
      <c r="M100" s="3" t="s">
        <v>16</v>
      </c>
      <c r="N100" s="8"/>
      <c r="O100" s="9"/>
    </row>
    <row r="101" spans="1:15" x14ac:dyDescent="0.2">
      <c r="A101" s="3" t="s">
        <v>40</v>
      </c>
      <c r="B101" s="3" t="s">
        <v>11</v>
      </c>
      <c r="C101" s="3" t="s">
        <v>18</v>
      </c>
      <c r="D101" s="4" t="s">
        <v>169</v>
      </c>
      <c r="E101" s="3" t="s">
        <v>12</v>
      </c>
      <c r="F101" s="12">
        <v>45646</v>
      </c>
      <c r="G101" s="5">
        <v>46184</v>
      </c>
      <c r="H101" s="6">
        <v>112690.79</v>
      </c>
      <c r="I101" s="7">
        <v>5.0999999999999996</v>
      </c>
      <c r="J101" s="7">
        <f t="shared" si="2"/>
        <v>0.03</v>
      </c>
      <c r="K101" s="7">
        <f t="shared" si="3"/>
        <v>0.15</v>
      </c>
      <c r="L101" s="3" t="s">
        <v>15</v>
      </c>
      <c r="M101" s="3" t="s">
        <v>16</v>
      </c>
      <c r="N101" s="8"/>
      <c r="O101" s="9"/>
    </row>
    <row r="102" spans="1:15" x14ac:dyDescent="0.2">
      <c r="A102" s="3" t="s">
        <v>41</v>
      </c>
      <c r="B102" s="3" t="s">
        <v>11</v>
      </c>
      <c r="C102" s="3" t="s">
        <v>18</v>
      </c>
      <c r="D102" s="4" t="s">
        <v>169</v>
      </c>
      <c r="E102" s="3" t="s">
        <v>12</v>
      </c>
      <c r="F102" s="12">
        <v>45646</v>
      </c>
      <c r="G102" s="5">
        <v>46184</v>
      </c>
      <c r="H102" s="6">
        <v>360740.65</v>
      </c>
      <c r="I102" s="7">
        <v>250.01</v>
      </c>
      <c r="J102" s="7">
        <f t="shared" si="2"/>
        <v>1.63</v>
      </c>
      <c r="K102" s="7">
        <f t="shared" si="3"/>
        <v>7.5</v>
      </c>
      <c r="L102" s="3" t="s">
        <v>15</v>
      </c>
      <c r="M102" s="3" t="s">
        <v>16</v>
      </c>
      <c r="N102" s="10"/>
      <c r="O102" s="11"/>
    </row>
    <row r="103" spans="1:15" x14ac:dyDescent="0.2">
      <c r="A103" s="3" t="s">
        <v>93</v>
      </c>
      <c r="B103" s="3" t="s">
        <v>11</v>
      </c>
      <c r="C103" s="3" t="s">
        <v>18</v>
      </c>
      <c r="D103" s="4" t="s">
        <v>169</v>
      </c>
      <c r="E103" s="3" t="s">
        <v>12</v>
      </c>
      <c r="F103" s="12">
        <v>45646</v>
      </c>
      <c r="G103" s="5">
        <v>46184</v>
      </c>
      <c r="H103" s="6">
        <v>36725.68</v>
      </c>
      <c r="I103" s="7">
        <v>341.09</v>
      </c>
      <c r="J103" s="7">
        <f t="shared" si="2"/>
        <v>2.2200000000000002</v>
      </c>
      <c r="K103" s="7">
        <f t="shared" si="3"/>
        <v>10.23</v>
      </c>
      <c r="L103" s="3" t="s">
        <v>15</v>
      </c>
      <c r="M103" s="3" t="s">
        <v>22</v>
      </c>
      <c r="N103" s="8"/>
      <c r="O103" s="9"/>
    </row>
    <row r="104" spans="1:15" x14ac:dyDescent="0.2">
      <c r="A104" s="3" t="s">
        <v>94</v>
      </c>
      <c r="B104" s="3" t="s">
        <v>11</v>
      </c>
      <c r="C104" s="3" t="s">
        <v>18</v>
      </c>
      <c r="D104" s="4" t="s">
        <v>169</v>
      </c>
      <c r="E104" s="3" t="s">
        <v>12</v>
      </c>
      <c r="F104" s="12">
        <v>45646</v>
      </c>
      <c r="G104" s="5">
        <v>46184</v>
      </c>
      <c r="H104" s="6">
        <v>605147.74</v>
      </c>
      <c r="I104" s="7">
        <v>951.81</v>
      </c>
      <c r="J104" s="7">
        <f t="shared" si="2"/>
        <v>6.19</v>
      </c>
      <c r="K104" s="7">
        <f t="shared" si="3"/>
        <v>28.55</v>
      </c>
      <c r="L104" s="3" t="s">
        <v>15</v>
      </c>
      <c r="M104" s="3" t="s">
        <v>22</v>
      </c>
      <c r="N104" s="10"/>
      <c r="O104" s="11"/>
    </row>
    <row r="105" spans="1:15" x14ac:dyDescent="0.2">
      <c r="A105" s="3" t="s">
        <v>109</v>
      </c>
      <c r="B105" s="3" t="s">
        <v>11</v>
      </c>
      <c r="C105" s="3" t="s">
        <v>18</v>
      </c>
      <c r="D105" s="4" t="s">
        <v>169</v>
      </c>
      <c r="E105" s="3" t="s">
        <v>12</v>
      </c>
      <c r="F105" s="12">
        <v>45646</v>
      </c>
      <c r="G105" s="5">
        <v>46184</v>
      </c>
      <c r="H105" s="6">
        <v>10387.120000000001</v>
      </c>
      <c r="I105" s="7">
        <v>1328.47</v>
      </c>
      <c r="J105" s="7">
        <f t="shared" si="2"/>
        <v>8.64</v>
      </c>
      <c r="K105" s="7">
        <f t="shared" si="3"/>
        <v>39.85</v>
      </c>
      <c r="L105" s="3" t="s">
        <v>15</v>
      </c>
      <c r="M105" s="3" t="s">
        <v>24</v>
      </c>
      <c r="N105" s="8"/>
      <c r="O105" s="9"/>
    </row>
    <row r="106" spans="1:15" x14ac:dyDescent="0.2">
      <c r="A106" s="3" t="s">
        <v>110</v>
      </c>
      <c r="B106" s="3" t="s">
        <v>11</v>
      </c>
      <c r="C106" s="3" t="s">
        <v>18</v>
      </c>
      <c r="D106" s="4" t="s">
        <v>169</v>
      </c>
      <c r="E106" s="3" t="s">
        <v>12</v>
      </c>
      <c r="F106" s="12">
        <v>45646</v>
      </c>
      <c r="G106" s="5">
        <v>46184</v>
      </c>
      <c r="H106" s="6">
        <v>326529.33</v>
      </c>
      <c r="I106" s="7">
        <v>7.6</v>
      </c>
      <c r="J106" s="7">
        <f t="shared" si="2"/>
        <v>0.05</v>
      </c>
      <c r="K106" s="7">
        <f t="shared" si="3"/>
        <v>0.23</v>
      </c>
      <c r="L106" s="3" t="s">
        <v>15</v>
      </c>
      <c r="M106" s="3" t="s">
        <v>24</v>
      </c>
      <c r="N106" s="10"/>
      <c r="O106" s="11"/>
    </row>
    <row r="107" spans="1:15" x14ac:dyDescent="0.2">
      <c r="A107" s="3" t="s">
        <v>111</v>
      </c>
      <c r="B107" s="3" t="s">
        <v>11</v>
      </c>
      <c r="C107" s="3" t="s">
        <v>18</v>
      </c>
      <c r="D107" s="4" t="s">
        <v>169</v>
      </c>
      <c r="E107" s="3" t="s">
        <v>12</v>
      </c>
      <c r="F107" s="12">
        <v>45646</v>
      </c>
      <c r="G107" s="5">
        <v>46184</v>
      </c>
      <c r="H107" s="6">
        <v>44375.67</v>
      </c>
      <c r="I107" s="7">
        <v>31.5</v>
      </c>
      <c r="J107" s="7">
        <f t="shared" si="2"/>
        <v>0.2</v>
      </c>
      <c r="K107" s="7">
        <f t="shared" si="3"/>
        <v>0.95</v>
      </c>
      <c r="L107" s="3" t="s">
        <v>15</v>
      </c>
      <c r="M107" s="3" t="s">
        <v>24</v>
      </c>
      <c r="N107" s="8"/>
      <c r="O107" s="9"/>
    </row>
    <row r="108" spans="1:15" x14ac:dyDescent="0.2">
      <c r="A108" s="3" t="s">
        <v>134</v>
      </c>
      <c r="B108" s="3" t="s">
        <v>11</v>
      </c>
      <c r="C108" s="3" t="s">
        <v>18</v>
      </c>
      <c r="D108" s="4" t="s">
        <v>169</v>
      </c>
      <c r="E108" s="3" t="s">
        <v>12</v>
      </c>
      <c r="F108" s="12">
        <v>45646</v>
      </c>
      <c r="G108" s="5">
        <v>46184</v>
      </c>
      <c r="H108" s="6">
        <v>103197.06</v>
      </c>
      <c r="I108" s="7">
        <v>383.16</v>
      </c>
      <c r="J108" s="7">
        <f t="shared" si="2"/>
        <v>2.4900000000000002</v>
      </c>
      <c r="K108" s="7">
        <f t="shared" si="3"/>
        <v>11.49</v>
      </c>
      <c r="L108" s="3" t="s">
        <v>15</v>
      </c>
      <c r="M108" s="3" t="s">
        <v>27</v>
      </c>
      <c r="N108" s="10"/>
      <c r="O108" s="11"/>
    </row>
    <row r="109" spans="1:15" x14ac:dyDescent="0.2">
      <c r="A109" s="3" t="s">
        <v>146</v>
      </c>
      <c r="B109" s="3" t="s">
        <v>11</v>
      </c>
      <c r="C109" s="3" t="s">
        <v>18</v>
      </c>
      <c r="D109" s="4" t="s">
        <v>169</v>
      </c>
      <c r="E109" s="3" t="s">
        <v>12</v>
      </c>
      <c r="F109" s="12">
        <v>45646</v>
      </c>
      <c r="G109" s="5">
        <v>46184</v>
      </c>
      <c r="H109" s="6">
        <v>118799.6</v>
      </c>
      <c r="I109" s="7">
        <v>315.57</v>
      </c>
      <c r="J109" s="7">
        <f t="shared" si="2"/>
        <v>2.0499999999999998</v>
      </c>
      <c r="K109" s="7">
        <f t="shared" si="3"/>
        <v>9.4700000000000006</v>
      </c>
      <c r="L109" s="3" t="s">
        <v>15</v>
      </c>
      <c r="M109" s="3" t="s">
        <v>28</v>
      </c>
      <c r="N109" s="10"/>
      <c r="O109" s="11"/>
    </row>
    <row r="110" spans="1:15" x14ac:dyDescent="0.2">
      <c r="A110" s="3" t="s">
        <v>161</v>
      </c>
      <c r="B110" s="3" t="s">
        <v>11</v>
      </c>
      <c r="C110" s="3" t="s">
        <v>18</v>
      </c>
      <c r="D110" s="4" t="s">
        <v>169</v>
      </c>
      <c r="E110" s="3" t="s">
        <v>12</v>
      </c>
      <c r="F110" s="12">
        <v>45646</v>
      </c>
      <c r="G110" s="5">
        <v>46184</v>
      </c>
      <c r="H110" s="6">
        <v>3465.96</v>
      </c>
      <c r="I110" s="7">
        <v>250</v>
      </c>
      <c r="J110" s="7">
        <f t="shared" si="2"/>
        <v>1.63</v>
      </c>
      <c r="K110" s="7">
        <f t="shared" si="3"/>
        <v>7.5</v>
      </c>
      <c r="L110" s="3" t="s">
        <v>15</v>
      </c>
      <c r="M110" s="3" t="s">
        <v>29</v>
      </c>
      <c r="N110" s="8"/>
      <c r="O110" s="9"/>
    </row>
    <row r="111" spans="1:15" x14ac:dyDescent="0.2">
      <c r="A111" s="3" t="s">
        <v>162</v>
      </c>
      <c r="B111" s="3" t="s">
        <v>11</v>
      </c>
      <c r="C111" s="3" t="s">
        <v>18</v>
      </c>
      <c r="D111" s="4" t="s">
        <v>169</v>
      </c>
      <c r="E111" s="3" t="s">
        <v>12</v>
      </c>
      <c r="F111" s="12">
        <v>45646</v>
      </c>
      <c r="G111" s="5">
        <v>46184</v>
      </c>
      <c r="H111" s="6">
        <v>28765.78</v>
      </c>
      <c r="I111" s="7">
        <v>203.91</v>
      </c>
      <c r="J111" s="7">
        <f t="shared" si="2"/>
        <v>1.33</v>
      </c>
      <c r="K111" s="7">
        <f t="shared" si="3"/>
        <v>6.12</v>
      </c>
      <c r="L111" s="3" t="s">
        <v>15</v>
      </c>
      <c r="M111" s="3" t="s">
        <v>29</v>
      </c>
      <c r="N111" s="10"/>
      <c r="O111" s="11"/>
    </row>
    <row r="112" spans="1:15" x14ac:dyDescent="0.2">
      <c r="A112" s="3" t="s">
        <v>163</v>
      </c>
      <c r="B112" s="3" t="s">
        <v>11</v>
      </c>
      <c r="C112" s="3" t="s">
        <v>18</v>
      </c>
      <c r="D112" s="4" t="s">
        <v>169</v>
      </c>
      <c r="E112" s="3" t="s">
        <v>12</v>
      </c>
      <c r="F112" s="12">
        <v>45646</v>
      </c>
      <c r="G112" s="5">
        <v>46184</v>
      </c>
      <c r="H112" s="6">
        <v>193754.1</v>
      </c>
      <c r="I112" s="7">
        <v>1515.46</v>
      </c>
      <c r="J112" s="7">
        <f t="shared" si="2"/>
        <v>9.85</v>
      </c>
      <c r="K112" s="7">
        <f t="shared" si="3"/>
        <v>45.46</v>
      </c>
      <c r="L112" s="3" t="s">
        <v>15</v>
      </c>
      <c r="M112" s="3" t="s">
        <v>29</v>
      </c>
      <c r="N112" s="10"/>
      <c r="O112" s="11"/>
    </row>
    <row r="113" spans="1:15" x14ac:dyDescent="0.2">
      <c r="A113" s="3" t="s">
        <v>57</v>
      </c>
      <c r="B113" s="3" t="s">
        <v>11</v>
      </c>
      <c r="C113" s="3" t="s">
        <v>18</v>
      </c>
      <c r="D113" s="4" t="s">
        <v>169</v>
      </c>
      <c r="E113" s="3" t="s">
        <v>12</v>
      </c>
      <c r="F113" s="5">
        <v>46163</v>
      </c>
      <c r="G113" s="5">
        <v>46203</v>
      </c>
      <c r="H113" s="6">
        <v>73613.41</v>
      </c>
      <c r="I113" s="7">
        <v>1.55</v>
      </c>
      <c r="J113" s="7">
        <f t="shared" si="2"/>
        <v>0.01</v>
      </c>
      <c r="K113" s="7">
        <f t="shared" si="3"/>
        <v>0.05</v>
      </c>
      <c r="L113" s="3" t="s">
        <v>15</v>
      </c>
      <c r="M113" s="3" t="s">
        <v>16</v>
      </c>
      <c r="N113" s="8"/>
      <c r="O113" s="9"/>
    </row>
    <row r="114" spans="1:15" x14ac:dyDescent="0.2">
      <c r="A114" s="3" t="s">
        <v>58</v>
      </c>
      <c r="B114" s="3" t="s">
        <v>11</v>
      </c>
      <c r="C114" s="3" t="s">
        <v>18</v>
      </c>
      <c r="D114" s="4" t="s">
        <v>169</v>
      </c>
      <c r="E114" s="3" t="s">
        <v>12</v>
      </c>
      <c r="F114" s="5">
        <v>46163</v>
      </c>
      <c r="G114" s="5">
        <v>46203</v>
      </c>
      <c r="H114" s="6">
        <v>163591.57</v>
      </c>
      <c r="I114" s="7">
        <v>60.65</v>
      </c>
      <c r="J114" s="7">
        <f t="shared" si="2"/>
        <v>0.39</v>
      </c>
      <c r="K114" s="7">
        <f t="shared" si="3"/>
        <v>1.82</v>
      </c>
      <c r="L114" s="3" t="s">
        <v>15</v>
      </c>
      <c r="M114" s="3" t="s">
        <v>16</v>
      </c>
      <c r="N114" s="10"/>
      <c r="O114" s="11"/>
    </row>
    <row r="115" spans="1:15" x14ac:dyDescent="0.2">
      <c r="A115" s="3" t="s">
        <v>59</v>
      </c>
      <c r="B115" s="3" t="s">
        <v>11</v>
      </c>
      <c r="C115" s="3" t="s">
        <v>18</v>
      </c>
      <c r="D115" s="4" t="s">
        <v>169</v>
      </c>
      <c r="E115" s="3" t="s">
        <v>12</v>
      </c>
      <c r="F115" s="5">
        <v>46163</v>
      </c>
      <c r="G115" s="5">
        <v>46203</v>
      </c>
      <c r="H115" s="6">
        <v>583836.81000000006</v>
      </c>
      <c r="I115" s="7">
        <v>30900.02</v>
      </c>
      <c r="J115" s="7">
        <f t="shared" si="2"/>
        <v>200.85</v>
      </c>
      <c r="K115" s="7">
        <f t="shared" si="3"/>
        <v>927</v>
      </c>
      <c r="L115" s="3" t="s">
        <v>15</v>
      </c>
      <c r="M115" s="3" t="s">
        <v>16</v>
      </c>
      <c r="N115" s="8"/>
      <c r="O115" s="9"/>
    </row>
    <row r="116" spans="1:15" x14ac:dyDescent="0.2">
      <c r="A116" s="3" t="s">
        <v>60</v>
      </c>
      <c r="B116" s="3" t="s">
        <v>11</v>
      </c>
      <c r="C116" s="3" t="s">
        <v>18</v>
      </c>
      <c r="D116" s="4" t="s">
        <v>169</v>
      </c>
      <c r="E116" s="3" t="s">
        <v>12</v>
      </c>
      <c r="F116" s="5">
        <v>46163</v>
      </c>
      <c r="G116" s="5">
        <v>46203</v>
      </c>
      <c r="H116" s="6">
        <v>180831.6</v>
      </c>
      <c r="I116" s="7">
        <v>3228.69</v>
      </c>
      <c r="J116" s="7">
        <f t="shared" si="2"/>
        <v>20.99</v>
      </c>
      <c r="K116" s="7">
        <f t="shared" si="3"/>
        <v>96.86</v>
      </c>
      <c r="L116" s="3" t="s">
        <v>15</v>
      </c>
      <c r="M116" s="3" t="s">
        <v>16</v>
      </c>
      <c r="N116" s="10"/>
      <c r="O116" s="11"/>
    </row>
    <row r="117" spans="1:15" x14ac:dyDescent="0.2">
      <c r="A117" s="3" t="s">
        <v>95</v>
      </c>
      <c r="B117" s="3" t="s">
        <v>11</v>
      </c>
      <c r="C117" s="3" t="s">
        <v>18</v>
      </c>
      <c r="D117" s="4" t="s">
        <v>169</v>
      </c>
      <c r="E117" s="3" t="s">
        <v>12</v>
      </c>
      <c r="F117" s="5">
        <v>46163</v>
      </c>
      <c r="G117" s="5">
        <v>46203</v>
      </c>
      <c r="H117" s="6">
        <v>8059.92</v>
      </c>
      <c r="I117" s="7">
        <v>85.11</v>
      </c>
      <c r="J117" s="7">
        <f t="shared" si="2"/>
        <v>0.55000000000000004</v>
      </c>
      <c r="K117" s="7">
        <f t="shared" si="3"/>
        <v>2.5499999999999998</v>
      </c>
      <c r="L117" s="3" t="s">
        <v>15</v>
      </c>
      <c r="M117" s="3" t="s">
        <v>22</v>
      </c>
      <c r="N117" s="8"/>
      <c r="O117" s="9"/>
    </row>
    <row r="118" spans="1:15" x14ac:dyDescent="0.2">
      <c r="A118" s="3" t="s">
        <v>96</v>
      </c>
      <c r="B118" s="3" t="s">
        <v>11</v>
      </c>
      <c r="C118" s="3" t="s">
        <v>18</v>
      </c>
      <c r="D118" s="4" t="s">
        <v>169</v>
      </c>
      <c r="E118" s="3" t="s">
        <v>12</v>
      </c>
      <c r="F118" s="5">
        <v>46163</v>
      </c>
      <c r="G118" s="5">
        <v>46203</v>
      </c>
      <c r="H118" s="6">
        <v>78873.91</v>
      </c>
      <c r="I118" s="7">
        <v>6.54</v>
      </c>
      <c r="J118" s="7">
        <f t="shared" si="2"/>
        <v>0.04</v>
      </c>
      <c r="K118" s="7">
        <f t="shared" si="3"/>
        <v>0.2</v>
      </c>
      <c r="L118" s="3" t="s">
        <v>15</v>
      </c>
      <c r="M118" s="3" t="s">
        <v>22</v>
      </c>
      <c r="N118" s="10"/>
      <c r="O118" s="11"/>
    </row>
    <row r="119" spans="1:15" x14ac:dyDescent="0.2">
      <c r="A119" s="3" t="s">
        <v>97</v>
      </c>
      <c r="B119" s="3" t="s">
        <v>11</v>
      </c>
      <c r="C119" s="3" t="s">
        <v>18</v>
      </c>
      <c r="D119" s="4" t="s">
        <v>169</v>
      </c>
      <c r="E119" s="3" t="s">
        <v>12</v>
      </c>
      <c r="F119" s="5">
        <v>46163</v>
      </c>
      <c r="G119" s="5">
        <v>46203</v>
      </c>
      <c r="H119" s="6">
        <v>442489.41</v>
      </c>
      <c r="I119" s="7">
        <v>1.59</v>
      </c>
      <c r="J119" s="7">
        <f t="shared" si="2"/>
        <v>0.01</v>
      </c>
      <c r="K119" s="7">
        <f t="shared" si="3"/>
        <v>0.05</v>
      </c>
      <c r="L119" s="3" t="s">
        <v>15</v>
      </c>
      <c r="M119" s="3" t="s">
        <v>22</v>
      </c>
      <c r="N119" s="8"/>
      <c r="O119" s="9"/>
    </row>
    <row r="120" spans="1:15" x14ac:dyDescent="0.2">
      <c r="A120" s="3" t="s">
        <v>98</v>
      </c>
      <c r="B120" s="3" t="s">
        <v>11</v>
      </c>
      <c r="C120" s="3" t="s">
        <v>18</v>
      </c>
      <c r="D120" s="4" t="s">
        <v>169</v>
      </c>
      <c r="E120" s="3" t="s">
        <v>12</v>
      </c>
      <c r="F120" s="5">
        <v>46163</v>
      </c>
      <c r="G120" s="5">
        <v>46203</v>
      </c>
      <c r="H120" s="6">
        <v>2641.63</v>
      </c>
      <c r="I120" s="7">
        <v>414.92</v>
      </c>
      <c r="J120" s="7">
        <f t="shared" si="2"/>
        <v>2.7</v>
      </c>
      <c r="K120" s="7">
        <f t="shared" si="3"/>
        <v>12.45</v>
      </c>
      <c r="L120" s="3" t="s">
        <v>15</v>
      </c>
      <c r="M120" s="3" t="s">
        <v>22</v>
      </c>
      <c r="N120" s="10"/>
      <c r="O120" s="11"/>
    </row>
    <row r="121" spans="1:15" x14ac:dyDescent="0.2">
      <c r="A121" s="3" t="s">
        <v>101</v>
      </c>
      <c r="B121" s="3" t="s">
        <v>11</v>
      </c>
      <c r="C121" s="3" t="s">
        <v>18</v>
      </c>
      <c r="D121" s="4" t="s">
        <v>169</v>
      </c>
      <c r="E121" s="3" t="s">
        <v>12</v>
      </c>
      <c r="F121" s="5">
        <v>46163</v>
      </c>
      <c r="G121" s="5">
        <v>46203</v>
      </c>
      <c r="H121" s="6">
        <v>183405.14</v>
      </c>
      <c r="I121" s="7">
        <v>2228.04</v>
      </c>
      <c r="J121" s="7">
        <f t="shared" si="2"/>
        <v>14.48</v>
      </c>
      <c r="K121" s="7">
        <f t="shared" si="3"/>
        <v>66.84</v>
      </c>
      <c r="L121" s="3" t="s">
        <v>15</v>
      </c>
      <c r="M121" s="3" t="s">
        <v>23</v>
      </c>
      <c r="N121" s="8"/>
      <c r="O121" s="9"/>
    </row>
    <row r="122" spans="1:15" x14ac:dyDescent="0.2">
      <c r="A122" s="3" t="s">
        <v>113</v>
      </c>
      <c r="B122" s="3" t="s">
        <v>11</v>
      </c>
      <c r="C122" s="3" t="s">
        <v>18</v>
      </c>
      <c r="D122" s="4" t="s">
        <v>169</v>
      </c>
      <c r="E122" s="3" t="s">
        <v>12</v>
      </c>
      <c r="F122" s="5">
        <v>46163</v>
      </c>
      <c r="G122" s="5">
        <v>46203</v>
      </c>
      <c r="H122" s="6">
        <v>365428.85</v>
      </c>
      <c r="I122" s="7">
        <v>0.06</v>
      </c>
      <c r="J122" s="7">
        <f t="shared" si="2"/>
        <v>0</v>
      </c>
      <c r="K122" s="7">
        <f t="shared" si="3"/>
        <v>0</v>
      </c>
      <c r="L122" s="3" t="s">
        <v>15</v>
      </c>
      <c r="M122" s="3" t="s">
        <v>24</v>
      </c>
      <c r="N122" s="10"/>
      <c r="O122" s="11"/>
    </row>
    <row r="123" spans="1:15" x14ac:dyDescent="0.2">
      <c r="A123" s="3" t="s">
        <v>114</v>
      </c>
      <c r="B123" s="3" t="s">
        <v>11</v>
      </c>
      <c r="C123" s="3" t="s">
        <v>18</v>
      </c>
      <c r="D123" s="4" t="s">
        <v>169</v>
      </c>
      <c r="E123" s="3" t="s">
        <v>12</v>
      </c>
      <c r="F123" s="5">
        <v>46163</v>
      </c>
      <c r="G123" s="5">
        <v>46203</v>
      </c>
      <c r="H123" s="6">
        <v>51742.2</v>
      </c>
      <c r="I123" s="7">
        <v>0.05</v>
      </c>
      <c r="J123" s="7">
        <f t="shared" si="2"/>
        <v>0</v>
      </c>
      <c r="K123" s="7">
        <f t="shared" si="3"/>
        <v>0</v>
      </c>
      <c r="L123" s="3" t="s">
        <v>15</v>
      </c>
      <c r="M123" s="3" t="s">
        <v>24</v>
      </c>
      <c r="N123" s="8"/>
      <c r="O123" s="9"/>
    </row>
    <row r="124" spans="1:15" x14ac:dyDescent="0.2">
      <c r="A124" s="3" t="s">
        <v>115</v>
      </c>
      <c r="B124" s="3" t="s">
        <v>11</v>
      </c>
      <c r="C124" s="3" t="s">
        <v>18</v>
      </c>
      <c r="D124" s="4" t="s">
        <v>169</v>
      </c>
      <c r="E124" s="3" t="s">
        <v>12</v>
      </c>
      <c r="F124" s="5">
        <v>46163</v>
      </c>
      <c r="G124" s="5">
        <v>46203</v>
      </c>
      <c r="H124" s="6">
        <v>283981.19</v>
      </c>
      <c r="I124" s="7">
        <v>0.02</v>
      </c>
      <c r="J124" s="7">
        <f t="shared" si="2"/>
        <v>0</v>
      </c>
      <c r="K124" s="7">
        <f t="shared" si="3"/>
        <v>0</v>
      </c>
      <c r="L124" s="3" t="s">
        <v>15</v>
      </c>
      <c r="M124" s="3" t="s">
        <v>24</v>
      </c>
      <c r="N124" s="10"/>
      <c r="O124" s="11"/>
    </row>
    <row r="125" spans="1:15" x14ac:dyDescent="0.2">
      <c r="A125" s="3" t="s">
        <v>147</v>
      </c>
      <c r="B125" s="3" t="s">
        <v>11</v>
      </c>
      <c r="C125" s="3" t="s">
        <v>18</v>
      </c>
      <c r="D125" s="4" t="s">
        <v>169</v>
      </c>
      <c r="E125" s="3" t="s">
        <v>12</v>
      </c>
      <c r="F125" s="5">
        <v>46163</v>
      </c>
      <c r="G125" s="5">
        <v>46203</v>
      </c>
      <c r="H125" s="6">
        <v>127817.51</v>
      </c>
      <c r="I125" s="7">
        <v>0.64</v>
      </c>
      <c r="J125" s="7">
        <f t="shared" si="2"/>
        <v>0</v>
      </c>
      <c r="K125" s="7">
        <f t="shared" si="3"/>
        <v>0.02</v>
      </c>
      <c r="L125" s="3" t="s">
        <v>15</v>
      </c>
      <c r="M125" s="3" t="s">
        <v>28</v>
      </c>
      <c r="N125" s="8"/>
      <c r="O125" s="9"/>
    </row>
    <row r="126" spans="1:15" x14ac:dyDescent="0.2">
      <c r="A126" s="3" t="s">
        <v>148</v>
      </c>
      <c r="B126" s="3" t="s">
        <v>11</v>
      </c>
      <c r="C126" s="3" t="s">
        <v>18</v>
      </c>
      <c r="D126" s="4" t="s">
        <v>169</v>
      </c>
      <c r="E126" s="3" t="s">
        <v>12</v>
      </c>
      <c r="F126" s="5">
        <v>46163</v>
      </c>
      <c r="G126" s="5">
        <v>46203</v>
      </c>
      <c r="H126" s="6">
        <v>340113.31</v>
      </c>
      <c r="I126" s="7">
        <v>10.08</v>
      </c>
      <c r="J126" s="7">
        <f t="shared" si="2"/>
        <v>7.0000000000000007E-2</v>
      </c>
      <c r="K126" s="7">
        <f t="shared" si="3"/>
        <v>0.3</v>
      </c>
      <c r="L126" s="3" t="s">
        <v>15</v>
      </c>
      <c r="M126" s="3" t="s">
        <v>28</v>
      </c>
      <c r="N126" s="10"/>
      <c r="O126" s="11"/>
    </row>
    <row r="127" spans="1:15" x14ac:dyDescent="0.2">
      <c r="A127" s="3" t="s">
        <v>42</v>
      </c>
      <c r="B127" s="3" t="s">
        <v>11</v>
      </c>
      <c r="C127" s="3" t="s">
        <v>43</v>
      </c>
      <c r="D127" s="4" t="s">
        <v>167</v>
      </c>
      <c r="E127" s="3" t="s">
        <v>12</v>
      </c>
      <c r="F127" s="12">
        <v>45930</v>
      </c>
      <c r="G127" s="5">
        <v>46189</v>
      </c>
      <c r="H127" s="6">
        <v>7136.06</v>
      </c>
      <c r="I127" s="7">
        <v>7136.06</v>
      </c>
      <c r="J127" s="7">
        <f t="shared" si="2"/>
        <v>46.38</v>
      </c>
      <c r="K127" s="7">
        <f t="shared" si="3"/>
        <v>214.08</v>
      </c>
      <c r="L127" s="3" t="s">
        <v>15</v>
      </c>
      <c r="M127" s="3" t="s">
        <v>16</v>
      </c>
      <c r="N127" s="10"/>
      <c r="O127" s="11"/>
    </row>
    <row r="128" spans="1:15" x14ac:dyDescent="0.2">
      <c r="A128" s="3" t="s">
        <v>50</v>
      </c>
      <c r="B128" s="3" t="s">
        <v>11</v>
      </c>
      <c r="C128" s="3" t="s">
        <v>19</v>
      </c>
      <c r="D128" s="4" t="s">
        <v>34</v>
      </c>
      <c r="E128" s="3" t="s">
        <v>12</v>
      </c>
      <c r="F128" s="5">
        <v>46157</v>
      </c>
      <c r="G128" s="5">
        <v>46203</v>
      </c>
      <c r="H128" s="6">
        <v>4330.08</v>
      </c>
      <c r="I128" s="7">
        <v>75.040000000000006</v>
      </c>
      <c r="J128" s="7">
        <f t="shared" si="2"/>
        <v>0.49</v>
      </c>
      <c r="K128" s="7">
        <f t="shared" si="3"/>
        <v>2.25</v>
      </c>
      <c r="L128" s="3" t="s">
        <v>15</v>
      </c>
      <c r="M128" s="3" t="s">
        <v>16</v>
      </c>
      <c r="N128" s="8"/>
      <c r="O128" s="9"/>
    </row>
    <row r="129" spans="1:15" x14ac:dyDescent="0.2">
      <c r="A129" s="3" t="s">
        <v>51</v>
      </c>
      <c r="B129" s="3" t="s">
        <v>11</v>
      </c>
      <c r="C129" s="3" t="s">
        <v>19</v>
      </c>
      <c r="D129" s="4" t="s">
        <v>34</v>
      </c>
      <c r="E129" s="3" t="s">
        <v>12</v>
      </c>
      <c r="F129" s="5">
        <v>46157</v>
      </c>
      <c r="G129" s="5">
        <v>46203</v>
      </c>
      <c r="H129" s="6">
        <v>2838.5</v>
      </c>
      <c r="I129" s="7">
        <v>6.77</v>
      </c>
      <c r="J129" s="7">
        <f t="shared" si="2"/>
        <v>0.04</v>
      </c>
      <c r="K129" s="7">
        <f t="shared" si="3"/>
        <v>0.2</v>
      </c>
      <c r="L129" s="3" t="s">
        <v>15</v>
      </c>
      <c r="M129" s="3" t="s">
        <v>16</v>
      </c>
      <c r="N129" s="10"/>
      <c r="O129" s="11"/>
    </row>
  </sheetData>
  <autoFilter ref="A2:M129" xr:uid="{92F1A81A-7583-4762-B9D6-9DD5717519D5}">
    <sortState xmlns:xlrd2="http://schemas.microsoft.com/office/spreadsheetml/2017/richdata2" ref="A3:M129">
      <sortCondition ref="D3:D129"/>
      <sortCondition ref="F3:F129"/>
    </sortState>
  </autoFilter>
  <sortState xmlns:xlrd2="http://schemas.microsoft.com/office/spreadsheetml/2017/richdata2" ref="A3:M129">
    <sortCondition ref="D3:D129"/>
    <sortCondition ref="G3:G129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B52B-B662-4E0E-9EB2-4F385E365E1E}">
  <dimension ref="A1:H145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1" width="12.140625" style="13" bestFit="1" customWidth="1"/>
    <col min="2" max="2" width="12.140625" style="2" bestFit="1" customWidth="1"/>
    <col min="3" max="3" width="13.5703125" style="2" bestFit="1" customWidth="1"/>
    <col min="4" max="4" width="11.7109375" style="2" bestFit="1" customWidth="1"/>
    <col min="5" max="5" width="8.85546875" style="2" bestFit="1" customWidth="1"/>
    <col min="6" max="6" width="9.85546875" style="2" bestFit="1" customWidth="1"/>
    <col min="7" max="16384" width="9.140625" style="2"/>
  </cols>
  <sheetData>
    <row r="1" spans="1:8" x14ac:dyDescent="0.2">
      <c r="A1"/>
      <c r="B1"/>
    </row>
    <row r="3" spans="1:8" ht="15" x14ac:dyDescent="0.25">
      <c r="B3" s="13"/>
      <c r="C3" s="14" t="s">
        <v>171</v>
      </c>
      <c r="D3" s="13"/>
      <c r="E3" s="13"/>
      <c r="F3" s="13"/>
      <c r="G3"/>
      <c r="H3"/>
    </row>
    <row r="4" spans="1:8" ht="15" x14ac:dyDescent="0.25">
      <c r="A4" s="14" t="s">
        <v>10</v>
      </c>
      <c r="B4" s="14" t="s">
        <v>0</v>
      </c>
      <c r="C4" s="13" t="s">
        <v>172</v>
      </c>
      <c r="D4" s="13" t="s">
        <v>173</v>
      </c>
      <c r="E4" s="13" t="s">
        <v>176</v>
      </c>
      <c r="F4" s="13" t="s">
        <v>177</v>
      </c>
      <c r="G4"/>
      <c r="H4"/>
    </row>
    <row r="5" spans="1:8" ht="15" x14ac:dyDescent="0.25">
      <c r="A5" s="13" t="s">
        <v>16</v>
      </c>
      <c r="B5" s="13"/>
      <c r="C5" s="15">
        <v>6879772.3099999996</v>
      </c>
      <c r="D5" s="15">
        <v>83601.290000000023</v>
      </c>
      <c r="E5" s="15">
        <v>543.41999999999985</v>
      </c>
      <c r="F5" s="15">
        <v>2508.0200000000004</v>
      </c>
      <c r="G5"/>
      <c r="H5"/>
    </row>
    <row r="6" spans="1:8" ht="15" x14ac:dyDescent="0.25">
      <c r="A6" s="13" t="s">
        <v>79</v>
      </c>
      <c r="B6" s="13"/>
      <c r="C6" s="15">
        <v>17007</v>
      </c>
      <c r="D6" s="15">
        <v>173.12</v>
      </c>
      <c r="E6" s="15">
        <v>1.1299999999999999</v>
      </c>
      <c r="F6" s="15">
        <v>5.19</v>
      </c>
      <c r="G6"/>
      <c r="H6"/>
    </row>
    <row r="7" spans="1:8" ht="15" x14ac:dyDescent="0.25">
      <c r="A7" s="13" t="s">
        <v>81</v>
      </c>
      <c r="B7" s="13"/>
      <c r="C7" s="15">
        <v>19913.060000000001</v>
      </c>
      <c r="D7" s="15">
        <v>0.02</v>
      </c>
      <c r="E7" s="15">
        <v>0</v>
      </c>
      <c r="F7" s="15">
        <v>0</v>
      </c>
      <c r="G7"/>
      <c r="H7"/>
    </row>
    <row r="8" spans="1:8" ht="15" x14ac:dyDescent="0.25">
      <c r="A8" s="13" t="s">
        <v>22</v>
      </c>
      <c r="B8" s="13"/>
      <c r="C8" s="15">
        <v>4866325.96</v>
      </c>
      <c r="D8" s="15">
        <v>32576.139999999996</v>
      </c>
      <c r="E8" s="15">
        <v>211.73000000000002</v>
      </c>
      <c r="F8" s="15">
        <v>977.27</v>
      </c>
      <c r="G8"/>
      <c r="H8"/>
    </row>
    <row r="9" spans="1:8" ht="15" x14ac:dyDescent="0.25">
      <c r="A9" s="13" t="s">
        <v>170</v>
      </c>
      <c r="B9" s="13"/>
      <c r="C9" s="15">
        <v>11783018.329999998</v>
      </c>
      <c r="D9" s="15">
        <v>116350.57000000002</v>
      </c>
      <c r="E9" s="15">
        <v>756.27999999999986</v>
      </c>
      <c r="F9" s="15">
        <v>3490.4800000000005</v>
      </c>
      <c r="G9"/>
      <c r="H9"/>
    </row>
    <row r="10" spans="1:8" ht="15" x14ac:dyDescent="0.25">
      <c r="A10"/>
      <c r="B10"/>
      <c r="C10"/>
      <c r="D10"/>
      <c r="E10"/>
      <c r="F10"/>
      <c r="G10"/>
      <c r="H10"/>
    </row>
    <row r="11" spans="1:8" ht="15" x14ac:dyDescent="0.25">
      <c r="A11"/>
      <c r="B11"/>
      <c r="C11"/>
      <c r="D11"/>
      <c r="E11"/>
      <c r="F11"/>
      <c r="G11"/>
      <c r="H11"/>
    </row>
    <row r="12" spans="1:8" ht="15" x14ac:dyDescent="0.25">
      <c r="A12"/>
      <c r="B12"/>
      <c r="C12"/>
      <c r="D12"/>
      <c r="E12"/>
      <c r="F12"/>
      <c r="G12"/>
      <c r="H12"/>
    </row>
    <row r="13" spans="1:8" ht="15" x14ac:dyDescent="0.25">
      <c r="A13"/>
      <c r="B13"/>
      <c r="C13"/>
      <c r="D13"/>
      <c r="E13"/>
      <c r="F13"/>
      <c r="G13"/>
      <c r="H13"/>
    </row>
    <row r="14" spans="1:8" ht="15" x14ac:dyDescent="0.25">
      <c r="A14"/>
      <c r="B14"/>
      <c r="C14"/>
      <c r="D14"/>
      <c r="E14"/>
      <c r="F14"/>
      <c r="G14"/>
      <c r="H14"/>
    </row>
    <row r="15" spans="1:8" ht="15" x14ac:dyDescent="0.25">
      <c r="A15"/>
      <c r="B15"/>
      <c r="C15"/>
      <c r="D15"/>
      <c r="E15"/>
      <c r="F15"/>
      <c r="G15"/>
      <c r="H15"/>
    </row>
    <row r="16" spans="1:8" ht="15" x14ac:dyDescent="0.25">
      <c r="A16"/>
      <c r="B16"/>
      <c r="C16"/>
      <c r="D16"/>
      <c r="E16"/>
      <c r="F16"/>
      <c r="G16"/>
      <c r="H16"/>
    </row>
    <row r="17" spans="1:8" ht="15" x14ac:dyDescent="0.25">
      <c r="A17"/>
      <c r="B17"/>
      <c r="C17"/>
      <c r="D17"/>
      <c r="E17"/>
      <c r="F17"/>
      <c r="G17"/>
      <c r="H17"/>
    </row>
    <row r="18" spans="1:8" ht="15" x14ac:dyDescent="0.25">
      <c r="A18"/>
      <c r="B18"/>
      <c r="C18"/>
      <c r="D18"/>
      <c r="E18"/>
      <c r="F18"/>
      <c r="G18"/>
      <c r="H18"/>
    </row>
    <row r="19" spans="1:8" ht="15" x14ac:dyDescent="0.25">
      <c r="A19"/>
      <c r="B19"/>
      <c r="C19"/>
      <c r="D19"/>
      <c r="E19"/>
      <c r="F19"/>
      <c r="G19"/>
      <c r="H19"/>
    </row>
    <row r="20" spans="1:8" ht="15" x14ac:dyDescent="0.25">
      <c r="A20"/>
      <c r="B20"/>
      <c r="C20"/>
      <c r="D20"/>
      <c r="E20"/>
      <c r="F20"/>
      <c r="G20"/>
      <c r="H20"/>
    </row>
    <row r="21" spans="1:8" ht="15" x14ac:dyDescent="0.25">
      <c r="A21"/>
      <c r="B21"/>
      <c r="C21"/>
      <c r="D21"/>
      <c r="E21"/>
      <c r="F21"/>
      <c r="G21"/>
      <c r="H21"/>
    </row>
    <row r="22" spans="1:8" ht="15" x14ac:dyDescent="0.25">
      <c r="A22"/>
      <c r="B22"/>
      <c r="C22"/>
      <c r="D22"/>
      <c r="E22"/>
      <c r="F22"/>
      <c r="G22"/>
      <c r="H22"/>
    </row>
    <row r="23" spans="1:8" ht="15" x14ac:dyDescent="0.25">
      <c r="A23"/>
      <c r="B23"/>
      <c r="C23"/>
      <c r="D23"/>
      <c r="E23"/>
      <c r="F23"/>
      <c r="G23"/>
      <c r="H23"/>
    </row>
    <row r="24" spans="1:8" ht="15" x14ac:dyDescent="0.25">
      <c r="A24"/>
      <c r="B24"/>
      <c r="C24"/>
      <c r="D24"/>
      <c r="E24"/>
      <c r="F24"/>
      <c r="G24"/>
      <c r="H24"/>
    </row>
    <row r="25" spans="1:8" ht="15" x14ac:dyDescent="0.25">
      <c r="A25"/>
      <c r="B25"/>
      <c r="C25"/>
      <c r="D25"/>
      <c r="E25"/>
      <c r="F25"/>
      <c r="G25"/>
      <c r="H25"/>
    </row>
    <row r="26" spans="1:8" ht="15" x14ac:dyDescent="0.25">
      <c r="A26"/>
      <c r="B26"/>
      <c r="C26"/>
      <c r="D26"/>
      <c r="E26"/>
      <c r="F26"/>
      <c r="G26"/>
      <c r="H26"/>
    </row>
    <row r="27" spans="1:8" ht="15" x14ac:dyDescent="0.25">
      <c r="A27"/>
      <c r="B27"/>
      <c r="C27"/>
      <c r="D27"/>
      <c r="E27"/>
      <c r="F27"/>
      <c r="G27"/>
      <c r="H27"/>
    </row>
    <row r="28" spans="1:8" ht="15" x14ac:dyDescent="0.25">
      <c r="A28"/>
      <c r="B28"/>
      <c r="C28"/>
      <c r="D28"/>
      <c r="E28"/>
      <c r="F28"/>
      <c r="G28"/>
      <c r="H28"/>
    </row>
    <row r="29" spans="1:8" ht="15" x14ac:dyDescent="0.25">
      <c r="A29"/>
      <c r="B29"/>
      <c r="C29"/>
      <c r="D29"/>
      <c r="E29"/>
      <c r="F29"/>
      <c r="G29"/>
      <c r="H29"/>
    </row>
    <row r="30" spans="1:8" ht="15" x14ac:dyDescent="0.25">
      <c r="A30"/>
      <c r="B30"/>
      <c r="C30"/>
      <c r="D30"/>
      <c r="E30"/>
      <c r="F30"/>
      <c r="G30"/>
      <c r="H30"/>
    </row>
    <row r="31" spans="1:8" ht="15" x14ac:dyDescent="0.25">
      <c r="A31"/>
      <c r="B31"/>
      <c r="C31"/>
      <c r="D31"/>
      <c r="E31"/>
      <c r="F31"/>
      <c r="G31"/>
      <c r="H31"/>
    </row>
    <row r="32" spans="1:8" ht="15" x14ac:dyDescent="0.25">
      <c r="A32"/>
      <c r="B32"/>
      <c r="C32"/>
      <c r="D32"/>
      <c r="E32"/>
      <c r="F32"/>
      <c r="G32"/>
      <c r="H32"/>
    </row>
    <row r="33" spans="1:8" ht="15" x14ac:dyDescent="0.25">
      <c r="A33"/>
      <c r="B33"/>
      <c r="C33"/>
      <c r="D33"/>
      <c r="E33"/>
      <c r="F33"/>
      <c r="G33"/>
      <c r="H33"/>
    </row>
    <row r="34" spans="1:8" ht="15" x14ac:dyDescent="0.25">
      <c r="A34"/>
      <c r="B34"/>
      <c r="C34"/>
      <c r="D34"/>
      <c r="E34"/>
      <c r="F34"/>
      <c r="G34"/>
      <c r="H34"/>
    </row>
    <row r="35" spans="1:8" ht="15" x14ac:dyDescent="0.25">
      <c r="A35"/>
      <c r="B35"/>
      <c r="C35"/>
      <c r="D35"/>
      <c r="E35"/>
      <c r="F35"/>
      <c r="G35"/>
      <c r="H35"/>
    </row>
    <row r="36" spans="1:8" ht="15" x14ac:dyDescent="0.25">
      <c r="A36"/>
      <c r="B36"/>
      <c r="C36"/>
      <c r="D36"/>
      <c r="E36"/>
      <c r="F36"/>
      <c r="G36"/>
      <c r="H36"/>
    </row>
    <row r="37" spans="1:8" ht="15" x14ac:dyDescent="0.25">
      <c r="A37"/>
      <c r="B37"/>
      <c r="C37"/>
      <c r="D37"/>
      <c r="E37"/>
      <c r="F37"/>
      <c r="G37"/>
      <c r="H37"/>
    </row>
    <row r="38" spans="1:8" ht="15" x14ac:dyDescent="0.25">
      <c r="A38"/>
      <c r="B38"/>
      <c r="C38"/>
      <c r="D38"/>
      <c r="E38"/>
      <c r="F38"/>
      <c r="G38"/>
      <c r="H38"/>
    </row>
    <row r="39" spans="1:8" ht="15" x14ac:dyDescent="0.25">
      <c r="A39"/>
      <c r="B39"/>
      <c r="C39"/>
      <c r="D39"/>
      <c r="E39"/>
      <c r="F39"/>
      <c r="G39"/>
      <c r="H39"/>
    </row>
    <row r="40" spans="1:8" ht="15" x14ac:dyDescent="0.25">
      <c r="A40"/>
      <c r="B40"/>
      <c r="C40"/>
      <c r="D40"/>
      <c r="E40"/>
      <c r="F40"/>
      <c r="G40"/>
      <c r="H40"/>
    </row>
    <row r="41" spans="1:8" ht="15" x14ac:dyDescent="0.25">
      <c r="A41"/>
      <c r="B41"/>
      <c r="C41"/>
      <c r="D41"/>
      <c r="E41"/>
      <c r="F41"/>
      <c r="G41"/>
      <c r="H41"/>
    </row>
    <row r="42" spans="1:8" ht="15" x14ac:dyDescent="0.25">
      <c r="A42"/>
      <c r="B42"/>
      <c r="C42"/>
      <c r="D42"/>
      <c r="E42"/>
      <c r="F42"/>
      <c r="G42"/>
      <c r="H42"/>
    </row>
    <row r="43" spans="1:8" ht="15" x14ac:dyDescent="0.25">
      <c r="A43"/>
      <c r="B43"/>
      <c r="C43"/>
      <c r="D43"/>
      <c r="E43"/>
      <c r="F43"/>
      <c r="G43"/>
      <c r="H43"/>
    </row>
    <row r="44" spans="1:8" ht="15" x14ac:dyDescent="0.25">
      <c r="A44"/>
      <c r="B44"/>
      <c r="C44"/>
      <c r="D44"/>
      <c r="E44"/>
      <c r="F44"/>
      <c r="G44"/>
      <c r="H44"/>
    </row>
    <row r="45" spans="1:8" ht="15" x14ac:dyDescent="0.25">
      <c r="A45"/>
      <c r="B45"/>
      <c r="C45"/>
      <c r="D45"/>
      <c r="E45"/>
      <c r="F45"/>
      <c r="G45"/>
      <c r="H45"/>
    </row>
    <row r="46" spans="1:8" ht="15" x14ac:dyDescent="0.25">
      <c r="A46"/>
      <c r="B46"/>
      <c r="C46"/>
      <c r="D46"/>
      <c r="E46"/>
      <c r="F46"/>
      <c r="G46"/>
      <c r="H46"/>
    </row>
    <row r="47" spans="1:8" ht="15" x14ac:dyDescent="0.25">
      <c r="A47"/>
      <c r="B47"/>
      <c r="C47"/>
      <c r="D47"/>
      <c r="E47"/>
      <c r="F47"/>
      <c r="G47"/>
      <c r="H47"/>
    </row>
    <row r="48" spans="1:8" ht="15" x14ac:dyDescent="0.25">
      <c r="A48"/>
      <c r="B48"/>
      <c r="C48"/>
      <c r="D48"/>
      <c r="E48"/>
      <c r="F48"/>
      <c r="G48"/>
      <c r="H48"/>
    </row>
    <row r="49" spans="1:8" ht="15" x14ac:dyDescent="0.25">
      <c r="A49"/>
      <c r="B49"/>
      <c r="C49"/>
      <c r="D49"/>
      <c r="E49"/>
      <c r="F49"/>
      <c r="G49"/>
      <c r="H49"/>
    </row>
    <row r="50" spans="1:8" ht="15" x14ac:dyDescent="0.25">
      <c r="A50"/>
      <c r="B50"/>
      <c r="C50"/>
      <c r="D50"/>
      <c r="E50"/>
      <c r="F50"/>
      <c r="G50"/>
      <c r="H50"/>
    </row>
    <row r="51" spans="1:8" ht="15" x14ac:dyDescent="0.25">
      <c r="A51"/>
      <c r="B51"/>
      <c r="C51"/>
      <c r="D51"/>
      <c r="E51"/>
      <c r="F51"/>
      <c r="G51"/>
      <c r="H51"/>
    </row>
    <row r="52" spans="1:8" ht="15" x14ac:dyDescent="0.25">
      <c r="A52"/>
      <c r="B52"/>
      <c r="C52"/>
      <c r="D52"/>
      <c r="E52"/>
      <c r="F52"/>
      <c r="G52"/>
      <c r="H52"/>
    </row>
    <row r="53" spans="1:8" ht="15" x14ac:dyDescent="0.25">
      <c r="A53"/>
      <c r="B53"/>
      <c r="C53"/>
      <c r="D53"/>
      <c r="E53"/>
      <c r="F53"/>
      <c r="G53"/>
      <c r="H53"/>
    </row>
    <row r="54" spans="1:8" ht="15" x14ac:dyDescent="0.25">
      <c r="A54"/>
      <c r="B54"/>
      <c r="C54"/>
      <c r="D54"/>
      <c r="E54"/>
      <c r="F54"/>
      <c r="G54"/>
      <c r="H54"/>
    </row>
    <row r="55" spans="1:8" ht="15" x14ac:dyDescent="0.25">
      <c r="A55"/>
      <c r="B55"/>
      <c r="C55"/>
      <c r="D55"/>
      <c r="E55"/>
      <c r="F55"/>
      <c r="G55"/>
      <c r="H55"/>
    </row>
    <row r="56" spans="1:8" ht="15" x14ac:dyDescent="0.25">
      <c r="A56"/>
      <c r="B56"/>
      <c r="C56"/>
      <c r="D56"/>
      <c r="E56"/>
      <c r="F56"/>
      <c r="G56"/>
      <c r="H56"/>
    </row>
    <row r="57" spans="1:8" ht="15" x14ac:dyDescent="0.25">
      <c r="A57"/>
      <c r="B57"/>
      <c r="C57"/>
      <c r="D57"/>
      <c r="E57"/>
      <c r="F57"/>
      <c r="G57"/>
      <c r="H57"/>
    </row>
    <row r="58" spans="1:8" ht="15" x14ac:dyDescent="0.25">
      <c r="A58"/>
      <c r="B58"/>
      <c r="C58"/>
      <c r="D58"/>
      <c r="E58"/>
      <c r="F58"/>
      <c r="G58"/>
      <c r="H58"/>
    </row>
    <row r="59" spans="1:8" ht="15" x14ac:dyDescent="0.25">
      <c r="A59"/>
      <c r="B59"/>
      <c r="C59"/>
      <c r="D59"/>
      <c r="E59"/>
      <c r="F59"/>
      <c r="G59"/>
      <c r="H59"/>
    </row>
    <row r="60" spans="1:8" ht="15" x14ac:dyDescent="0.25">
      <c r="A60"/>
      <c r="B60"/>
      <c r="C60"/>
      <c r="D60"/>
      <c r="E60"/>
      <c r="F60"/>
      <c r="G60"/>
      <c r="H60"/>
    </row>
    <row r="61" spans="1:8" ht="15" x14ac:dyDescent="0.25">
      <c r="A61"/>
      <c r="B61"/>
      <c r="C61"/>
      <c r="D61"/>
      <c r="E61"/>
      <c r="F61"/>
      <c r="G61"/>
      <c r="H61"/>
    </row>
    <row r="62" spans="1:8" ht="15" x14ac:dyDescent="0.25">
      <c r="A62"/>
      <c r="B62"/>
      <c r="C62"/>
      <c r="D62"/>
      <c r="E62"/>
      <c r="F62"/>
      <c r="G62"/>
      <c r="H62"/>
    </row>
    <row r="63" spans="1:8" ht="15" x14ac:dyDescent="0.25">
      <c r="A63"/>
      <c r="B63"/>
      <c r="C63"/>
      <c r="D63"/>
      <c r="E63"/>
      <c r="F63"/>
      <c r="G63"/>
      <c r="H63"/>
    </row>
    <row r="64" spans="1:8" ht="15" x14ac:dyDescent="0.25">
      <c r="A64"/>
      <c r="B64"/>
      <c r="C64"/>
      <c r="D64"/>
      <c r="E64"/>
      <c r="F64"/>
      <c r="G64"/>
      <c r="H64"/>
    </row>
    <row r="65" spans="1:8" ht="15" x14ac:dyDescent="0.25">
      <c r="A65"/>
      <c r="B65"/>
      <c r="C65"/>
      <c r="D65"/>
      <c r="E65"/>
      <c r="F65"/>
      <c r="G65"/>
      <c r="H65"/>
    </row>
    <row r="66" spans="1:8" ht="15" x14ac:dyDescent="0.25">
      <c r="A66"/>
      <c r="B66"/>
      <c r="C66"/>
      <c r="D66"/>
      <c r="E66"/>
      <c r="F66"/>
      <c r="G66"/>
      <c r="H66"/>
    </row>
    <row r="67" spans="1:8" ht="15" x14ac:dyDescent="0.25">
      <c r="A67"/>
      <c r="B67"/>
      <c r="C67"/>
      <c r="D67"/>
      <c r="E67"/>
      <c r="F67"/>
      <c r="G67"/>
      <c r="H67"/>
    </row>
    <row r="68" spans="1:8" ht="15" x14ac:dyDescent="0.25">
      <c r="A68"/>
      <c r="B68"/>
      <c r="C68"/>
      <c r="D68"/>
      <c r="E68"/>
      <c r="F68"/>
      <c r="G68"/>
      <c r="H68"/>
    </row>
    <row r="69" spans="1:8" ht="15" x14ac:dyDescent="0.25">
      <c r="A69"/>
      <c r="B69"/>
      <c r="C69"/>
      <c r="D69"/>
      <c r="E69"/>
      <c r="F69"/>
      <c r="G69"/>
      <c r="H69"/>
    </row>
    <row r="70" spans="1:8" ht="15" x14ac:dyDescent="0.25">
      <c r="A70"/>
      <c r="B70"/>
      <c r="C70"/>
      <c r="D70"/>
      <c r="E70"/>
      <c r="F70"/>
      <c r="G70"/>
      <c r="H70"/>
    </row>
    <row r="71" spans="1:8" ht="15" x14ac:dyDescent="0.25">
      <c r="A71"/>
      <c r="B71"/>
      <c r="C71"/>
      <c r="D71"/>
      <c r="E71"/>
      <c r="F71"/>
      <c r="G71"/>
      <c r="H71"/>
    </row>
    <row r="72" spans="1:8" ht="15" x14ac:dyDescent="0.25">
      <c r="A72"/>
      <c r="B72"/>
      <c r="C72"/>
      <c r="D72"/>
      <c r="E72"/>
      <c r="F72"/>
      <c r="G72"/>
      <c r="H72"/>
    </row>
    <row r="73" spans="1:8" ht="15" x14ac:dyDescent="0.25">
      <c r="A73"/>
      <c r="B73"/>
      <c r="C73"/>
      <c r="D73"/>
      <c r="E73"/>
      <c r="F73"/>
      <c r="G73"/>
      <c r="H73"/>
    </row>
    <row r="74" spans="1:8" ht="15" x14ac:dyDescent="0.25">
      <c r="A74"/>
      <c r="B74"/>
      <c r="C74"/>
      <c r="D74"/>
      <c r="E74"/>
      <c r="F74"/>
      <c r="G74"/>
      <c r="H74"/>
    </row>
    <row r="75" spans="1:8" ht="15" x14ac:dyDescent="0.25">
      <c r="A75"/>
      <c r="B75"/>
      <c r="C75"/>
      <c r="D75"/>
      <c r="E75"/>
      <c r="F75"/>
      <c r="G75"/>
      <c r="H75"/>
    </row>
    <row r="76" spans="1:8" ht="15" x14ac:dyDescent="0.25">
      <c r="A76"/>
      <c r="B76"/>
      <c r="C76"/>
      <c r="D76"/>
      <c r="E76"/>
      <c r="F76"/>
      <c r="G76"/>
      <c r="H76"/>
    </row>
    <row r="77" spans="1:8" ht="15" x14ac:dyDescent="0.25">
      <c r="A77"/>
      <c r="B77"/>
      <c r="C77"/>
      <c r="D77"/>
      <c r="E77"/>
      <c r="F77"/>
      <c r="G77"/>
      <c r="H77"/>
    </row>
    <row r="78" spans="1:8" ht="15" x14ac:dyDescent="0.25">
      <c r="A78"/>
      <c r="B78"/>
      <c r="C78"/>
      <c r="D78"/>
      <c r="E78"/>
      <c r="F78"/>
      <c r="G78"/>
      <c r="H78"/>
    </row>
    <row r="79" spans="1:8" ht="15" x14ac:dyDescent="0.25">
      <c r="A79"/>
      <c r="B79"/>
      <c r="C79"/>
      <c r="D79"/>
      <c r="E79"/>
      <c r="F79"/>
      <c r="G79"/>
      <c r="H79"/>
    </row>
    <row r="80" spans="1:8" ht="15" x14ac:dyDescent="0.25">
      <c r="A80"/>
      <c r="B80"/>
      <c r="C80"/>
      <c r="D80"/>
      <c r="E80"/>
      <c r="F80"/>
      <c r="G80"/>
      <c r="H80"/>
    </row>
    <row r="81" spans="1:8" ht="15" x14ac:dyDescent="0.25">
      <c r="A81"/>
      <c r="B81"/>
      <c r="C81"/>
      <c r="D81"/>
      <c r="E81"/>
      <c r="F81"/>
      <c r="G81"/>
      <c r="H81"/>
    </row>
    <row r="82" spans="1:8" ht="15" x14ac:dyDescent="0.25">
      <c r="A82"/>
      <c r="B82"/>
      <c r="C82"/>
      <c r="D82"/>
      <c r="E82"/>
      <c r="F82"/>
      <c r="G82"/>
      <c r="H82"/>
    </row>
    <row r="83" spans="1:8" ht="15" x14ac:dyDescent="0.25">
      <c r="A83"/>
      <c r="B83"/>
      <c r="C83"/>
      <c r="D83"/>
      <c r="E83"/>
      <c r="F83"/>
      <c r="G83"/>
      <c r="H83"/>
    </row>
    <row r="84" spans="1:8" ht="15" x14ac:dyDescent="0.25">
      <c r="A84"/>
      <c r="B84"/>
      <c r="C84"/>
      <c r="D84"/>
      <c r="E84"/>
      <c r="F84"/>
      <c r="G84"/>
      <c r="H84"/>
    </row>
    <row r="85" spans="1:8" ht="15" x14ac:dyDescent="0.25">
      <c r="A85"/>
      <c r="B85"/>
      <c r="C85"/>
      <c r="D85"/>
      <c r="E85"/>
      <c r="F85"/>
      <c r="G85"/>
      <c r="H85"/>
    </row>
    <row r="86" spans="1:8" ht="15" x14ac:dyDescent="0.25">
      <c r="A86"/>
      <c r="B86"/>
      <c r="C86"/>
      <c r="D86"/>
      <c r="E86"/>
      <c r="F86"/>
      <c r="G86"/>
      <c r="H86"/>
    </row>
    <row r="87" spans="1:8" ht="15" x14ac:dyDescent="0.25">
      <c r="A87"/>
      <c r="B87"/>
      <c r="C87"/>
      <c r="D87"/>
      <c r="E87"/>
      <c r="F87"/>
      <c r="G87"/>
      <c r="H87"/>
    </row>
    <row r="88" spans="1:8" ht="15" x14ac:dyDescent="0.25">
      <c r="A88"/>
      <c r="B88"/>
      <c r="C88"/>
      <c r="D88"/>
      <c r="E88"/>
      <c r="F88"/>
      <c r="G88"/>
      <c r="H88"/>
    </row>
    <row r="89" spans="1:8" ht="15" x14ac:dyDescent="0.25">
      <c r="A89"/>
      <c r="B89"/>
      <c r="C89"/>
      <c r="D89"/>
      <c r="E89"/>
      <c r="F89"/>
      <c r="G89"/>
      <c r="H89"/>
    </row>
    <row r="90" spans="1:8" ht="15" x14ac:dyDescent="0.25">
      <c r="A90"/>
      <c r="B90"/>
      <c r="C90"/>
      <c r="D90"/>
      <c r="E90"/>
      <c r="F90"/>
      <c r="G90"/>
      <c r="H90"/>
    </row>
    <row r="91" spans="1:8" ht="15" x14ac:dyDescent="0.25">
      <c r="A91"/>
      <c r="B91"/>
      <c r="C91"/>
      <c r="D91"/>
      <c r="E91"/>
      <c r="F91"/>
      <c r="G91"/>
      <c r="H91"/>
    </row>
    <row r="92" spans="1:8" ht="15" x14ac:dyDescent="0.25">
      <c r="A92"/>
      <c r="B92"/>
      <c r="C92"/>
      <c r="D92"/>
      <c r="E92"/>
      <c r="F92"/>
      <c r="G92"/>
      <c r="H92"/>
    </row>
    <row r="93" spans="1:8" ht="15" x14ac:dyDescent="0.25">
      <c r="A93"/>
      <c r="B93"/>
      <c r="C93"/>
      <c r="D93"/>
      <c r="E93"/>
      <c r="F93"/>
      <c r="G93"/>
      <c r="H93"/>
    </row>
    <row r="94" spans="1:8" ht="15" x14ac:dyDescent="0.25">
      <c r="A94"/>
      <c r="B94"/>
      <c r="C94"/>
      <c r="D94"/>
      <c r="E94"/>
      <c r="F94"/>
      <c r="G94"/>
      <c r="H94"/>
    </row>
    <row r="95" spans="1:8" ht="15" x14ac:dyDescent="0.25">
      <c r="A95"/>
      <c r="B95"/>
      <c r="C95"/>
      <c r="D95"/>
      <c r="E95"/>
      <c r="F95"/>
      <c r="G95"/>
      <c r="H95"/>
    </row>
    <row r="96" spans="1:8" ht="15" x14ac:dyDescent="0.25">
      <c r="A96"/>
      <c r="B96"/>
      <c r="C96"/>
      <c r="D96"/>
      <c r="E96"/>
      <c r="F96"/>
      <c r="G96"/>
      <c r="H96"/>
    </row>
    <row r="97" spans="1:8" ht="15" x14ac:dyDescent="0.25">
      <c r="A97"/>
      <c r="B97"/>
      <c r="C97"/>
      <c r="D97"/>
      <c r="E97"/>
      <c r="F97"/>
      <c r="G97"/>
      <c r="H97"/>
    </row>
    <row r="98" spans="1:8" ht="15" x14ac:dyDescent="0.25">
      <c r="A98"/>
      <c r="B98"/>
      <c r="C98"/>
      <c r="D98"/>
      <c r="E98"/>
      <c r="F98"/>
      <c r="G98"/>
      <c r="H98"/>
    </row>
    <row r="99" spans="1:8" ht="15" x14ac:dyDescent="0.25">
      <c r="A99"/>
      <c r="B99"/>
      <c r="C99"/>
      <c r="D99"/>
      <c r="E99"/>
      <c r="F99"/>
      <c r="G99"/>
      <c r="H99"/>
    </row>
    <row r="100" spans="1:8" ht="15" x14ac:dyDescent="0.25">
      <c r="A100"/>
      <c r="B100"/>
      <c r="C100"/>
      <c r="D100"/>
      <c r="E100"/>
      <c r="F100"/>
      <c r="G100"/>
      <c r="H100"/>
    </row>
    <row r="101" spans="1:8" ht="15" x14ac:dyDescent="0.25">
      <c r="A101"/>
      <c r="B101"/>
      <c r="C101"/>
      <c r="D101"/>
      <c r="E101"/>
      <c r="F101"/>
      <c r="G101"/>
      <c r="H101"/>
    </row>
    <row r="102" spans="1:8" ht="15" x14ac:dyDescent="0.25">
      <c r="A102"/>
      <c r="B102"/>
      <c r="C102"/>
      <c r="D102"/>
      <c r="E102"/>
      <c r="F102"/>
      <c r="G102"/>
      <c r="H102"/>
    </row>
    <row r="103" spans="1:8" ht="15" x14ac:dyDescent="0.25">
      <c r="A103"/>
      <c r="B103"/>
      <c r="C103"/>
      <c r="D103"/>
      <c r="E103"/>
      <c r="F103"/>
      <c r="G103"/>
      <c r="H103"/>
    </row>
    <row r="104" spans="1:8" ht="15" x14ac:dyDescent="0.25">
      <c r="A104"/>
      <c r="B104"/>
      <c r="C104"/>
      <c r="D104"/>
      <c r="E104"/>
      <c r="F104"/>
      <c r="G104"/>
      <c r="H104"/>
    </row>
    <row r="105" spans="1:8" ht="15" x14ac:dyDescent="0.25">
      <c r="A105"/>
      <c r="B105"/>
      <c r="C105"/>
      <c r="D105"/>
      <c r="E105"/>
      <c r="F105"/>
      <c r="G105"/>
      <c r="H105"/>
    </row>
    <row r="106" spans="1:8" ht="15" x14ac:dyDescent="0.25">
      <c r="A106"/>
      <c r="B106"/>
      <c r="C106"/>
      <c r="D106"/>
      <c r="E106"/>
      <c r="F106"/>
      <c r="G106"/>
      <c r="H106"/>
    </row>
    <row r="107" spans="1:8" ht="15" x14ac:dyDescent="0.25">
      <c r="A107"/>
      <c r="B107"/>
      <c r="C107"/>
      <c r="D107"/>
      <c r="E107"/>
      <c r="F107"/>
      <c r="G107"/>
      <c r="H107"/>
    </row>
    <row r="108" spans="1:8" ht="15" x14ac:dyDescent="0.25">
      <c r="A108"/>
      <c r="B108"/>
      <c r="C108"/>
      <c r="D108"/>
      <c r="E108"/>
      <c r="F108"/>
      <c r="G108"/>
      <c r="H108"/>
    </row>
    <row r="109" spans="1:8" ht="15" x14ac:dyDescent="0.25">
      <c r="A109"/>
      <c r="B109"/>
      <c r="C109"/>
      <c r="D109"/>
      <c r="E109"/>
      <c r="F109"/>
      <c r="G109"/>
      <c r="H109"/>
    </row>
    <row r="110" spans="1:8" ht="15" x14ac:dyDescent="0.25">
      <c r="A110"/>
      <c r="B110"/>
      <c r="C110"/>
      <c r="D110"/>
      <c r="E110"/>
      <c r="F110"/>
      <c r="G110"/>
      <c r="H110"/>
    </row>
    <row r="111" spans="1:8" ht="15" x14ac:dyDescent="0.25">
      <c r="A111"/>
      <c r="B111"/>
      <c r="C111"/>
      <c r="D111"/>
      <c r="E111"/>
      <c r="F111"/>
      <c r="G111"/>
      <c r="H111"/>
    </row>
    <row r="112" spans="1:8" ht="15" x14ac:dyDescent="0.25">
      <c r="A112"/>
      <c r="B112"/>
      <c r="C112"/>
      <c r="D112"/>
      <c r="E112"/>
      <c r="F112"/>
      <c r="G112"/>
      <c r="H112"/>
    </row>
    <row r="113" spans="1:8" ht="15" x14ac:dyDescent="0.25">
      <c r="A113"/>
      <c r="B113"/>
      <c r="C113"/>
      <c r="D113"/>
      <c r="E113"/>
      <c r="F113"/>
      <c r="G113"/>
      <c r="H113"/>
    </row>
    <row r="114" spans="1:8" ht="15" x14ac:dyDescent="0.25">
      <c r="A114"/>
      <c r="B114"/>
      <c r="C114"/>
      <c r="D114"/>
      <c r="E114"/>
      <c r="F114"/>
      <c r="G114"/>
      <c r="H114"/>
    </row>
    <row r="115" spans="1:8" ht="15" x14ac:dyDescent="0.25">
      <c r="A115"/>
      <c r="B115"/>
      <c r="C115"/>
      <c r="D115"/>
      <c r="E115"/>
      <c r="F115"/>
      <c r="G115"/>
      <c r="H115"/>
    </row>
    <row r="116" spans="1:8" ht="15" x14ac:dyDescent="0.25">
      <c r="A116"/>
      <c r="B116"/>
      <c r="C116"/>
      <c r="D116"/>
      <c r="E116"/>
      <c r="F116"/>
      <c r="G116"/>
      <c r="H116"/>
    </row>
    <row r="117" spans="1:8" ht="15" x14ac:dyDescent="0.25">
      <c r="A117"/>
      <c r="B117"/>
      <c r="C117"/>
      <c r="D117"/>
      <c r="E117"/>
      <c r="F117"/>
      <c r="G117"/>
      <c r="H117"/>
    </row>
    <row r="118" spans="1:8" ht="15" x14ac:dyDescent="0.25">
      <c r="A118"/>
      <c r="B118"/>
      <c r="C118"/>
      <c r="D118"/>
      <c r="E118"/>
      <c r="F118"/>
      <c r="G118"/>
      <c r="H118"/>
    </row>
    <row r="119" spans="1:8" ht="15" x14ac:dyDescent="0.25">
      <c r="A119"/>
      <c r="B119"/>
      <c r="C119"/>
      <c r="D119"/>
      <c r="E119"/>
      <c r="F119"/>
      <c r="G119"/>
      <c r="H119"/>
    </row>
    <row r="120" spans="1:8" ht="15" x14ac:dyDescent="0.25">
      <c r="A120"/>
      <c r="B120"/>
      <c r="C120"/>
      <c r="D120"/>
      <c r="E120"/>
      <c r="F120"/>
      <c r="G120"/>
      <c r="H120"/>
    </row>
    <row r="121" spans="1:8" ht="15" x14ac:dyDescent="0.25">
      <c r="A121"/>
      <c r="B121"/>
      <c r="C121"/>
      <c r="D121"/>
      <c r="E121"/>
      <c r="F121"/>
      <c r="G121"/>
      <c r="H121"/>
    </row>
    <row r="122" spans="1:8" ht="15" x14ac:dyDescent="0.25">
      <c r="A122"/>
      <c r="B122"/>
      <c r="C122"/>
      <c r="D122"/>
      <c r="E122"/>
      <c r="F122"/>
      <c r="G122"/>
      <c r="H122"/>
    </row>
    <row r="123" spans="1:8" ht="15" x14ac:dyDescent="0.25">
      <c r="A123"/>
      <c r="B123"/>
      <c r="C123"/>
      <c r="D123"/>
      <c r="E123"/>
      <c r="F123"/>
      <c r="G123"/>
      <c r="H123"/>
    </row>
    <row r="124" spans="1:8" ht="15" x14ac:dyDescent="0.25">
      <c r="A124"/>
      <c r="B124"/>
      <c r="C124"/>
      <c r="D124"/>
      <c r="E124"/>
      <c r="F124"/>
      <c r="G124"/>
      <c r="H124"/>
    </row>
    <row r="125" spans="1:8" ht="15" x14ac:dyDescent="0.25">
      <c r="A125"/>
      <c r="B125"/>
      <c r="C125"/>
      <c r="D125"/>
      <c r="E125"/>
      <c r="F125"/>
      <c r="G125"/>
      <c r="H125"/>
    </row>
    <row r="126" spans="1:8" ht="15" x14ac:dyDescent="0.25">
      <c r="A126"/>
      <c r="B126"/>
      <c r="C126"/>
      <c r="D126"/>
      <c r="E126"/>
      <c r="F126"/>
      <c r="G126"/>
      <c r="H126"/>
    </row>
    <row r="127" spans="1:8" ht="15" x14ac:dyDescent="0.25">
      <c r="A127"/>
      <c r="B127"/>
      <c r="C127"/>
      <c r="D127"/>
      <c r="E127"/>
      <c r="F127"/>
      <c r="G127"/>
      <c r="H127"/>
    </row>
    <row r="128" spans="1:8" ht="15" x14ac:dyDescent="0.25">
      <c r="A128"/>
      <c r="B128"/>
      <c r="C128"/>
      <c r="D128"/>
      <c r="E128"/>
      <c r="F128"/>
      <c r="G128"/>
      <c r="H128"/>
    </row>
    <row r="129" spans="1:8" ht="15" x14ac:dyDescent="0.25">
      <c r="A129"/>
      <c r="B129"/>
      <c r="C129"/>
      <c r="D129"/>
      <c r="E129"/>
      <c r="F129"/>
      <c r="G129"/>
      <c r="H129"/>
    </row>
    <row r="130" spans="1:8" ht="15" x14ac:dyDescent="0.25">
      <c r="A130"/>
      <c r="B130"/>
      <c r="C130"/>
      <c r="D130"/>
      <c r="E130"/>
      <c r="F130"/>
      <c r="G130"/>
      <c r="H130"/>
    </row>
    <row r="131" spans="1:8" ht="15" x14ac:dyDescent="0.25">
      <c r="A131"/>
      <c r="B131"/>
      <c r="C131"/>
      <c r="D131"/>
      <c r="E131"/>
      <c r="F131"/>
      <c r="G131"/>
      <c r="H131"/>
    </row>
    <row r="132" spans="1:8" ht="15" x14ac:dyDescent="0.25">
      <c r="A132"/>
      <c r="B132"/>
      <c r="C132"/>
      <c r="D132"/>
      <c r="E132"/>
      <c r="F132"/>
      <c r="G132"/>
      <c r="H132"/>
    </row>
    <row r="133" spans="1:8" x14ac:dyDescent="0.2">
      <c r="A133"/>
      <c r="B133"/>
      <c r="C133"/>
      <c r="D133"/>
      <c r="E133"/>
      <c r="F133"/>
      <c r="G133"/>
      <c r="H133"/>
    </row>
    <row r="134" spans="1:8" x14ac:dyDescent="0.2">
      <c r="A134"/>
      <c r="B134"/>
      <c r="C134"/>
      <c r="D134"/>
      <c r="E134"/>
      <c r="F134"/>
      <c r="G134"/>
      <c r="H134"/>
    </row>
    <row r="135" spans="1:8" x14ac:dyDescent="0.2">
      <c r="A135"/>
      <c r="B135"/>
      <c r="C135"/>
      <c r="D135"/>
      <c r="E135"/>
      <c r="F135"/>
      <c r="G135"/>
      <c r="H135"/>
    </row>
    <row r="136" spans="1:8" x14ac:dyDescent="0.2">
      <c r="A136"/>
      <c r="B136"/>
      <c r="C136"/>
      <c r="D136"/>
      <c r="E136"/>
      <c r="F136"/>
      <c r="G136"/>
      <c r="H136"/>
    </row>
    <row r="137" spans="1:8" x14ac:dyDescent="0.2">
      <c r="A137"/>
      <c r="B137"/>
      <c r="C137"/>
      <c r="D137"/>
      <c r="E137"/>
      <c r="F137"/>
      <c r="G137"/>
      <c r="H137"/>
    </row>
    <row r="138" spans="1:8" x14ac:dyDescent="0.2">
      <c r="A138"/>
      <c r="B138"/>
      <c r="C138"/>
      <c r="D138"/>
      <c r="E138"/>
      <c r="F138"/>
      <c r="G138"/>
      <c r="H138"/>
    </row>
    <row r="139" spans="1:8" x14ac:dyDescent="0.2">
      <c r="A139"/>
      <c r="B139"/>
      <c r="C139"/>
      <c r="D139"/>
      <c r="E139"/>
      <c r="F139"/>
      <c r="G139"/>
      <c r="H139"/>
    </row>
    <row r="140" spans="1:8" x14ac:dyDescent="0.2">
      <c r="A140"/>
      <c r="B140"/>
      <c r="C140"/>
      <c r="D140"/>
      <c r="E140"/>
      <c r="F140"/>
      <c r="G140"/>
      <c r="H140"/>
    </row>
    <row r="141" spans="1:8" x14ac:dyDescent="0.2">
      <c r="A141"/>
      <c r="B141"/>
      <c r="C141"/>
      <c r="D141"/>
      <c r="E141"/>
      <c r="F141"/>
      <c r="G141"/>
      <c r="H141"/>
    </row>
    <row r="142" spans="1:8" x14ac:dyDescent="0.2">
      <c r="A142"/>
      <c r="B142"/>
      <c r="C142"/>
      <c r="D142"/>
      <c r="E142"/>
      <c r="F142"/>
      <c r="G142"/>
      <c r="H142"/>
    </row>
    <row r="143" spans="1:8" x14ac:dyDescent="0.2">
      <c r="A143"/>
      <c r="B143"/>
      <c r="C143"/>
      <c r="D143"/>
      <c r="E143"/>
      <c r="F143"/>
      <c r="G143"/>
      <c r="H143"/>
    </row>
    <row r="144" spans="1:8" x14ac:dyDescent="0.2">
      <c r="A144"/>
      <c r="B144"/>
      <c r="C144"/>
      <c r="D144"/>
      <c r="E144"/>
      <c r="F144"/>
      <c r="G144"/>
      <c r="H144"/>
    </row>
    <row r="145" spans="1:8" x14ac:dyDescent="0.2">
      <c r="A145"/>
      <c r="B145"/>
      <c r="C145"/>
      <c r="D145"/>
      <c r="E145"/>
      <c r="F145"/>
      <c r="G145"/>
      <c r="H14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Relação de Glosas</vt:lpstr>
      <vt:lpstr>Dinâmica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Aparecida de Camargo</dc:creator>
  <cp:lastModifiedBy>Jackson Alves dos Santos Junior</cp:lastModifiedBy>
  <dcterms:created xsi:type="dcterms:W3CDTF">2026-06-02T19:49:44Z</dcterms:created>
  <dcterms:modified xsi:type="dcterms:W3CDTF">2026-07-06T11:23:43Z</dcterms:modified>
</cp:coreProperties>
</file>